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tuca Cakes" sheetId="1" r:id="rId4"/>
    <sheet state="visible" name="Sheet1" sheetId="2" r:id="rId5"/>
    <sheet state="visible" name="Margen" sheetId="3" r:id="rId6"/>
    <sheet state="visible" name="Insumos" sheetId="4" r:id="rId7"/>
    <sheet state="visible" name="Recetas" sheetId="5" r:id="rId8"/>
    <sheet state="visible" name="Costo x Articulo" sheetId="6" r:id="rId9"/>
    <sheet state="visible" name="Bar" sheetId="7" r:id="rId10"/>
    <sheet state="visible" name="Catering" sheetId="8" r:id="rId11"/>
    <sheet state="visible" name="Ventas Bar" sheetId="9" r:id="rId12"/>
    <sheet state="visible" name="Rendimiento mensual" sheetId="10" r:id="rId13"/>
    <sheet state="visible" name="Pedidos insumos" sheetId="11" r:id="rId14"/>
  </sheets>
  <definedNames>
    <definedName name="b">Insumos!$XAO$1</definedName>
    <definedName hidden="1" localSheetId="0" name="_xlnm._FilterDatabase">'Vituca Cakes'!$B$3:$AD$659</definedName>
    <definedName hidden="1" localSheetId="3" name="_xlnm._FilterDatabase">Insumos!$B$4:$G$176</definedName>
    <definedName hidden="1" localSheetId="4" name="_xlnm._FilterDatabase">Recetas!$B$2:$H$1286</definedName>
  </definedNames>
  <calcPr/>
  <extLst>
    <ext uri="GoogleSheetsCustomDataVersion2">
      <go:sheetsCustomData xmlns:go="http://customooxmlschemas.google.com/" r:id="rId15" roundtripDataChecksum="mOD65n1cd1wncmw59LIuLZphrBsbF8XCMZt3KAfhMU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ID#AAAAHSSQF84
    (2020-11-18 12:51:10)
No completar, salvo la primer línea de cada receta</t>
      </text>
    </comment>
    <comment authorId="0" ref="G2">
      <text>
        <t xml:space="preserve">======
ID#AAAAHSSQF6E
Patricio M Vallerino    (2020-09-27 23:59:46)
Nunca completar.</t>
      </text>
    </comment>
    <comment authorId="0" ref="F2">
      <text>
        <t xml:space="preserve">======
ID#AAAAHSSQF54
Patricio M Vallerino    (2020-09-27 23:59:46)
Completar siempre.</t>
      </text>
    </comment>
    <comment authorId="0" ref="E2">
      <text>
        <t xml:space="preserve">======
ID#AAAAHSSQF6M
Patricio M Vallerino    (2020-09-27 23:59:46)
Seleccionar desde la lista.</t>
      </text>
    </comment>
    <comment authorId="0" ref="D2">
      <text>
        <t xml:space="preserve">======
ID#AAAAHSSQF6I
Patricio M Vallerino    (2020-09-27 23:59:46)
Seleccionar desde la lista.</t>
      </text>
    </comment>
    <comment authorId="0" ref="H2">
      <text>
        <t xml:space="preserve">======
ID#AAAAHSSQF58
Patricio M Vallerino    (2020-09-27 23:59:46)
Nunca completar.</t>
      </text>
    </comment>
  </commentList>
  <extLst>
    <ext uri="GoogleSheetsCustomDataVersion2">
      <go:sheetsCustomData xmlns:go="http://customooxmlschemas.google.com/" r:id="rId1" roundtripDataSignature="AMtx7mhtn9xrrKnx7hHFAsGjZ0im9byNbQ=="/>
    </ext>
  </extLst>
</comments>
</file>

<file path=xl/sharedStrings.xml><?xml version="1.0" encoding="utf-8"?>
<sst xmlns="http://schemas.openxmlformats.org/spreadsheetml/2006/main" count="2492" uniqueCount="793">
  <si>
    <t>N°</t>
  </si>
  <si>
    <t>Fecha</t>
  </si>
  <si>
    <t>Año</t>
  </si>
  <si>
    <t>Mes</t>
  </si>
  <si>
    <t>Cliente</t>
  </si>
  <si>
    <t>N° Artículo</t>
  </si>
  <si>
    <t>Categoría</t>
  </si>
  <si>
    <t>Detalle</t>
  </si>
  <si>
    <t>Unidades</t>
  </si>
  <si>
    <t>Costo Total</t>
  </si>
  <si>
    <t>Venta Total</t>
  </si>
  <si>
    <t>Ganancia</t>
  </si>
  <si>
    <t>Metodo de PAGO</t>
  </si>
  <si>
    <t xml:space="preserve">Agus Paramidani </t>
  </si>
  <si>
    <t>macarrons</t>
  </si>
  <si>
    <t>sabores surtidos</t>
  </si>
  <si>
    <t>Lucas Capello</t>
  </si>
  <si>
    <t>Ornella D´estefano</t>
  </si>
  <si>
    <t>torta brownie</t>
  </si>
  <si>
    <t>frutos rojos tamaño 24cm</t>
  </si>
  <si>
    <t>Leidymar</t>
  </si>
  <si>
    <t xml:space="preserve">desayuno </t>
  </si>
  <si>
    <t xml:space="preserve">1 jugo baggio  1 mini budin limon1 mini budin marmolado, 4 cookies de chips de chocolate, 4 cookies en forma de flor, 1 porcion de brownie, 1 chocolatada, mantelito </t>
  </si>
  <si>
    <t>Maxi Cardoso</t>
  </si>
  <si>
    <t>4 chocolate blanco 2 limon 2 frutilla y 2 chocolate</t>
  </si>
  <si>
    <t>Carolina Marsaudon</t>
  </si>
  <si>
    <t>torta brownie 24 cm</t>
  </si>
  <si>
    <t xml:space="preserve">ddl, crema, frutillas y chocolates </t>
  </si>
  <si>
    <t>Gaby Morales</t>
  </si>
  <si>
    <t xml:space="preserve">Lemon Pie </t>
  </si>
  <si>
    <t xml:space="preserve">20 cm </t>
  </si>
  <si>
    <t xml:space="preserve">torta brownie </t>
  </si>
  <si>
    <t xml:space="preserve">Frutos rojos tamaño 20cm </t>
  </si>
  <si>
    <t>Agus Perez Romero</t>
  </si>
  <si>
    <t>Chipa</t>
  </si>
  <si>
    <t>1/4 GANADOR!</t>
  </si>
  <si>
    <t>Priscila Pacifisco</t>
  </si>
  <si>
    <t>Caro Ponti</t>
  </si>
  <si>
    <t>Pan Trenzado</t>
  </si>
  <si>
    <t>con semillas</t>
  </si>
  <si>
    <t>Estefi Garbarino</t>
  </si>
  <si>
    <t>PAGO, TRANSFERENCIA</t>
  </si>
  <si>
    <t>Flor  Daboum</t>
  </si>
  <si>
    <t xml:space="preserve">surtidos blancos y rosas </t>
  </si>
  <si>
    <t>Flor Vitola</t>
  </si>
  <si>
    <t>desayuno PLIM PLIM</t>
  </si>
  <si>
    <t>Baggio, globo, 2 muffins buttercream, 2 cookies glase, 4 cookies chupetin</t>
  </si>
  <si>
    <t>Desayuno FORTNITE</t>
  </si>
  <si>
    <t>igual que plim plim pero de fortnite</t>
  </si>
  <si>
    <t xml:space="preserve">Vicky Minoli </t>
  </si>
  <si>
    <t>macarrons + tarta manzana</t>
  </si>
  <si>
    <t xml:space="preserve">M 3 Limon y 3 Frutilla  T: 24 CM </t>
  </si>
  <si>
    <t>6 + 1</t>
  </si>
  <si>
    <t>Daniela Ares</t>
  </si>
  <si>
    <t>torta bizcochuelo 50</t>
  </si>
  <si>
    <t>dulce de leche-crema y merengue / rosa y dorado</t>
  </si>
  <si>
    <t>Lorena Cossovich</t>
  </si>
  <si>
    <t>torta ferrero rocher + macarrons</t>
  </si>
  <si>
    <t xml:space="preserve">10 macarrons Surtidos, torta 20 cm </t>
  </si>
  <si>
    <t>10+ 1</t>
  </si>
  <si>
    <t>Roxana Solis</t>
  </si>
  <si>
    <t>Torta Piñata</t>
  </si>
  <si>
    <t>tematica: DINOSAURIO / ELLOS ME DAN LAS GOLOSINAS</t>
  </si>
  <si>
    <t>Jaqueline</t>
  </si>
  <si>
    <t>tarta de frutillas y tarta de durazno</t>
  </si>
  <si>
    <t>24 cm con pastelera, retira!</t>
  </si>
  <si>
    <t>PAGO SEÑA</t>
  </si>
  <si>
    <t>tematica: TIC TOC / ELLOS ME DAN LAS GOLOSINAS</t>
  </si>
  <si>
    <t xml:space="preserve">ezequiel </t>
  </si>
  <si>
    <t>DIA DE LA MADRE</t>
  </si>
  <si>
    <t>OPCION 1</t>
  </si>
  <si>
    <t>PAGO, MERCADO PAGO</t>
  </si>
  <si>
    <t>Miriam</t>
  </si>
  <si>
    <t>OPCION 1 + 6 MARPLATENSE + 2 CUCHARAS</t>
  </si>
  <si>
    <t>EFECTIVO</t>
  </si>
  <si>
    <t>Meco</t>
  </si>
  <si>
    <t>OPCION 2</t>
  </si>
  <si>
    <t>Cora</t>
  </si>
  <si>
    <t>Adrian Lopresto</t>
  </si>
  <si>
    <t>PAGO, EFECTIVO</t>
  </si>
  <si>
    <t>Caterina</t>
  </si>
  <si>
    <t>Erica</t>
  </si>
  <si>
    <t>Laura Parroquia</t>
  </si>
  <si>
    <t>Julian Petruzzelli</t>
  </si>
  <si>
    <t>Nicole Avila</t>
  </si>
  <si>
    <t>Nicolas Ferros</t>
  </si>
  <si>
    <t>MARISEL</t>
  </si>
  <si>
    <t>DESAYUNO</t>
  </si>
  <si>
    <t>2 macarrons choco b y choco, 4 maicena 1 brownie y 4 cookies feliz cumple</t>
  </si>
  <si>
    <t>2 macarrons choco b y choco, 4 maicena 1 brownie y 4 cookies feliz cumple y globo corazon rosa</t>
  </si>
  <si>
    <t>NORBERTO</t>
  </si>
  <si>
    <t xml:space="preserve"> DESAYUNOS</t>
  </si>
  <si>
    <t>2 Cookies, 2 budin de chocolate, baggio, taza. Bandeja</t>
  </si>
  <si>
    <t>pago 35.000</t>
  </si>
  <si>
    <t>Silvia Lois</t>
  </si>
  <si>
    <t>HALOWEEN</t>
  </si>
  <si>
    <t>12 COOKIES 12 MACARRONS (CHO. CHO B) 6 FANTASMITAS</t>
  </si>
  <si>
    <t>HALLOWEEN</t>
  </si>
  <si>
    <t xml:space="preserve">OPCION </t>
  </si>
  <si>
    <t>ALDU RIQUELME</t>
  </si>
  <si>
    <t>CAMILA CLARK</t>
  </si>
  <si>
    <t>TORTA BALCARCE</t>
  </si>
  <si>
    <t>ALDANA DASSO</t>
  </si>
  <si>
    <t xml:space="preserve">DESAYUNO </t>
  </si>
  <si>
    <t>TRASFERENCIA</t>
  </si>
  <si>
    <t>GERALDE</t>
  </si>
  <si>
    <t>BUDIN LIMON</t>
  </si>
  <si>
    <t>1/2 KG</t>
  </si>
  <si>
    <t>VALERIA CARLONE</t>
  </si>
  <si>
    <t>15 MACARRONS</t>
  </si>
  <si>
    <t xml:space="preserve">Marcela Carbonaro </t>
  </si>
  <si>
    <t>chocotorta</t>
  </si>
  <si>
    <t>marcela Carbonaro</t>
  </si>
  <si>
    <t>frambuesas GRandes</t>
  </si>
  <si>
    <t>21/11/2020</t>
  </si>
  <si>
    <t xml:space="preserve">1  Cheese Cake frutos rojos </t>
  </si>
  <si>
    <t xml:space="preserve">20cm c/u </t>
  </si>
  <si>
    <t xml:space="preserve">fabio </t>
  </si>
  <si>
    <t>frambuesas chicas</t>
  </si>
  <si>
    <t>viviana  Paslesky</t>
  </si>
  <si>
    <t>frambuesas Grandes</t>
  </si>
  <si>
    <t>19/11/2020</t>
  </si>
  <si>
    <t>candela Pacifico</t>
  </si>
  <si>
    <t>Frambuesas Grandes</t>
  </si>
  <si>
    <t>marisel</t>
  </si>
  <si>
    <t>24/11/2020</t>
  </si>
  <si>
    <t>Delfina</t>
  </si>
  <si>
    <t>Desayuno  Harry Stile</t>
  </si>
  <si>
    <t>1 jugo. 3 cookies deco. 3 muffins deco. 2 maicena. 1 mini budin limon</t>
  </si>
  <si>
    <t>flor lanata</t>
  </si>
  <si>
    <t>ornella D estefano</t>
  </si>
  <si>
    <t>frambuesas grandes</t>
  </si>
  <si>
    <t>Patico guardia</t>
  </si>
  <si>
    <t>martin caraci</t>
  </si>
  <si>
    <t>jimena caraci</t>
  </si>
  <si>
    <t>Luli Miramontes</t>
  </si>
  <si>
    <t>torta abogada</t>
  </si>
  <si>
    <t>dulce de leche y crema con frutillas</t>
  </si>
  <si>
    <t>Belu Morales</t>
  </si>
  <si>
    <t>torta cactus</t>
  </si>
  <si>
    <t xml:space="preserve">dulce con chips y crema </t>
  </si>
  <si>
    <t>pan dulce 1/2</t>
  </si>
  <si>
    <t>frutos secos</t>
  </si>
  <si>
    <t>Mica Rodriguez</t>
  </si>
  <si>
    <t>desayuno</t>
  </si>
  <si>
    <t xml:space="preserve">con envio </t>
  </si>
  <si>
    <t>Leandro</t>
  </si>
  <si>
    <t>Muffins</t>
  </si>
  <si>
    <t>2 mickey y 2 unicornio</t>
  </si>
  <si>
    <t>Flor Alonso</t>
  </si>
  <si>
    <t>torta Letra</t>
  </si>
  <si>
    <t>dulce, crema y merengue, chocos rosas</t>
  </si>
  <si>
    <t>Florencia Fernandez</t>
  </si>
  <si>
    <t xml:space="preserve">box plim plim </t>
  </si>
  <si>
    <t>2  muffins, 3 cookies 3 cookies chupetin, baggio y leche chocolatada</t>
  </si>
  <si>
    <t>Gladys apura</t>
  </si>
  <si>
    <t>cookies decoradas</t>
  </si>
  <si>
    <t>tematica: maestra</t>
  </si>
  <si>
    <t>seño carla. Sabor vainilla 3, choco 3, limon 3</t>
  </si>
  <si>
    <t>norberto</t>
  </si>
  <si>
    <t>pastaflora</t>
  </si>
  <si>
    <t xml:space="preserve">2 de 20x30 </t>
  </si>
  <si>
    <t>cortadas en 10x10 sabor: membrillo, batata</t>
  </si>
  <si>
    <t>Fer Mayer</t>
  </si>
  <si>
    <t>frutos rojos y merengue</t>
  </si>
  <si>
    <t>seña 800 / mercado pago</t>
  </si>
  <si>
    <t>greys anatomy</t>
  </si>
  <si>
    <t>frutos secos / chips</t>
  </si>
  <si>
    <t>pan dulce 1kg</t>
  </si>
  <si>
    <t>pan dulce frutos secos</t>
  </si>
  <si>
    <t>cora</t>
  </si>
  <si>
    <t>pan dulce 1 kg</t>
  </si>
  <si>
    <t>frutas secos y abrillantadas</t>
  </si>
  <si>
    <t>navidad</t>
  </si>
  <si>
    <t>Norma</t>
  </si>
  <si>
    <t>frutos secos y abrillantadas</t>
  </si>
  <si>
    <t>Katy Hockey</t>
  </si>
  <si>
    <t>Oreo doble Cake</t>
  </si>
  <si>
    <t>18 cm</t>
  </si>
  <si>
    <t xml:space="preserve">Isabel </t>
  </si>
  <si>
    <t>opcion 3</t>
  </si>
  <si>
    <t>Maria Belen Tenuta</t>
  </si>
  <si>
    <t>Torta Paw Patrol</t>
  </si>
  <si>
    <t>Ale costales</t>
  </si>
  <si>
    <t>brownie 19</t>
  </si>
  <si>
    <t>colores granates</t>
  </si>
  <si>
    <t>silvina Scotti</t>
  </si>
  <si>
    <t>dietetica</t>
  </si>
  <si>
    <t>desayuno opcion 1</t>
  </si>
  <si>
    <t>valeria Stella</t>
  </si>
  <si>
    <t>luli lobos</t>
  </si>
  <si>
    <t xml:space="preserve">brownie </t>
  </si>
  <si>
    <t>frutos rojos</t>
  </si>
  <si>
    <t>Daniela Miozzi</t>
  </si>
  <si>
    <t>cupcakes, cookies, cakepops</t>
  </si>
  <si>
    <t>militar</t>
  </si>
  <si>
    <t>Nati baltierra</t>
  </si>
  <si>
    <t>huevo relleno</t>
  </si>
  <si>
    <t>1 verde 2 rosas</t>
  </si>
  <si>
    <t>pago</t>
  </si>
  <si>
    <t>Marcela Veron</t>
  </si>
  <si>
    <t>1 granate 1 rosa</t>
  </si>
  <si>
    <t>german piriz</t>
  </si>
  <si>
    <t xml:space="preserve">chocolate negro </t>
  </si>
  <si>
    <t>Agustin Paramidani</t>
  </si>
  <si>
    <t>chocolate negro y rosa</t>
  </si>
  <si>
    <t>Luli Ravale</t>
  </si>
  <si>
    <t>2 rosas negros y 2 verdes blancos</t>
  </si>
  <si>
    <t>marcela veron</t>
  </si>
  <si>
    <t>tarta de manzana</t>
  </si>
  <si>
    <t>16 cm</t>
  </si>
  <si>
    <t>Viviana Vedani</t>
  </si>
  <si>
    <t>1 18 cm rosa y 2 verdes</t>
  </si>
  <si>
    <t>Daniela ares</t>
  </si>
  <si>
    <t>globos 49</t>
  </si>
  <si>
    <t>mercado pago</t>
  </si>
  <si>
    <t>Aldana Lucila</t>
  </si>
  <si>
    <t>minions</t>
  </si>
  <si>
    <t>Erica Duarte</t>
  </si>
  <si>
    <t>ferrero rocher</t>
  </si>
  <si>
    <t>Ornella Lobos</t>
  </si>
  <si>
    <t xml:space="preserve">Torta Buttercream </t>
  </si>
  <si>
    <t>12 cm</t>
  </si>
  <si>
    <t xml:space="preserve">torta 12 cm Pasta Ballina </t>
  </si>
  <si>
    <t>comunion</t>
  </si>
  <si>
    <t xml:space="preserve">Balcarse 16 cm </t>
  </si>
  <si>
    <t>precio amigo</t>
  </si>
  <si>
    <t>pan de molde de salvado</t>
  </si>
  <si>
    <t>gratis</t>
  </si>
  <si>
    <t xml:space="preserve">Sandra Val </t>
  </si>
  <si>
    <t>10 de descuento</t>
  </si>
  <si>
    <t>mini budin redondo citrico</t>
  </si>
  <si>
    <t>con glasee</t>
  </si>
  <si>
    <t>con chocolate</t>
  </si>
  <si>
    <t>Nico Gonzalez</t>
  </si>
  <si>
    <t>Pan saborizando</t>
  </si>
  <si>
    <t>1/4 cebolla y cibullete- queso y oregano</t>
  </si>
  <si>
    <t>pago transferencia</t>
  </si>
  <si>
    <t>Daniela Navia</t>
  </si>
  <si>
    <t>Torta brownie 20 cm frutos rojos</t>
  </si>
  <si>
    <t>pago efectivo</t>
  </si>
  <si>
    <t>Zaza Fernandez</t>
  </si>
  <si>
    <t>number cake 2</t>
  </si>
  <si>
    <t>bizcochuelo vainilla, corte ddl- ganacha- crema y frutillas</t>
  </si>
  <si>
    <t>Adriana Pacifico</t>
  </si>
  <si>
    <t>desayuno 1</t>
  </si>
  <si>
    <t>Nazarena Gonzalez</t>
  </si>
  <si>
    <t>Budin de limon</t>
  </si>
  <si>
    <t>Noelia Agúero</t>
  </si>
  <si>
    <t>tonos rosas, ddl y ganache de chocolate negro (57)</t>
  </si>
  <si>
    <t>pago, transferencia</t>
  </si>
  <si>
    <t>patricia zanettini</t>
  </si>
  <si>
    <t>boca</t>
  </si>
  <si>
    <t xml:space="preserve">Federico Allan </t>
  </si>
  <si>
    <t>Charly Garcia</t>
  </si>
  <si>
    <t>Anyu</t>
  </si>
  <si>
    <t>zaza</t>
  </si>
  <si>
    <t xml:space="preserve">Juano </t>
  </si>
  <si>
    <t xml:space="preserve">Daniela </t>
  </si>
  <si>
    <t>Juli Fernandez</t>
  </si>
  <si>
    <t>Cande Pacifico</t>
  </si>
  <si>
    <t xml:space="preserve">Cora Vallerino </t>
  </si>
  <si>
    <t xml:space="preserve">Marisel </t>
  </si>
  <si>
    <t>Maaarideluca</t>
  </si>
  <si>
    <t>ENVIO 550</t>
  </si>
  <si>
    <t xml:space="preserve">Fiorella </t>
  </si>
  <si>
    <t>le reste 300</t>
  </si>
  <si>
    <t>cecilia figueroa</t>
  </si>
  <si>
    <t>22 cm boca</t>
  </si>
  <si>
    <t>rectangular 20x30  boca</t>
  </si>
  <si>
    <t>Antonella EY</t>
  </si>
  <si>
    <t>budin carrot cake</t>
  </si>
  <si>
    <t xml:space="preserve">Alejandra Arboleya </t>
  </si>
  <si>
    <t xml:space="preserve">decorados de minnie rosa </t>
  </si>
  <si>
    <t>Nicolas Gonzalez</t>
  </si>
  <si>
    <t>guadalupe</t>
  </si>
  <si>
    <t>Alan Fernandez</t>
  </si>
  <si>
    <t xml:space="preserve">Lucia </t>
  </si>
  <si>
    <t>20 u</t>
  </si>
  <si>
    <t>Norberto</t>
  </si>
  <si>
    <t>maniecraf</t>
  </si>
  <si>
    <t xml:space="preserve">mariel </t>
  </si>
  <si>
    <t>butercream blanca, corazones rojos, happy birthday bitch 21</t>
  </si>
  <si>
    <t xml:space="preserve">delfina hockey </t>
  </si>
  <si>
    <t>con chocolates</t>
  </si>
  <si>
    <t xml:space="preserve"> 1300 por los chocolates</t>
  </si>
  <si>
    <t xml:space="preserve">veronica </t>
  </si>
  <si>
    <t>clasico</t>
  </si>
  <si>
    <t>elizabeth perez</t>
  </si>
  <si>
    <t>anabel de giorgio</t>
  </si>
  <si>
    <t>rosa</t>
  </si>
  <si>
    <t xml:space="preserve">Liliana </t>
  </si>
  <si>
    <t>roja</t>
  </si>
  <si>
    <t>Priscila Pacifico</t>
  </si>
  <si>
    <t>Norland</t>
  </si>
  <si>
    <t>8 minibudines por unidad</t>
  </si>
  <si>
    <t>Valeria Norland</t>
  </si>
  <si>
    <t>Cumpleaños de 15</t>
  </si>
  <si>
    <t xml:space="preserve">torta </t>
  </si>
  <si>
    <t>Leando Curas</t>
  </si>
  <si>
    <t xml:space="preserve">Viviana Palesky </t>
  </si>
  <si>
    <t xml:space="preserve">Dario </t>
  </si>
  <si>
    <t xml:space="preserve">Carina </t>
  </si>
  <si>
    <t>Valeria</t>
  </si>
  <si>
    <t>cumpleaños de 15</t>
  </si>
  <si>
    <t xml:space="preserve">Luciana </t>
  </si>
  <si>
    <t>PAGO</t>
  </si>
  <si>
    <t>PAGÓ</t>
  </si>
  <si>
    <t xml:space="preserve">12 oreos bañadas </t>
  </si>
  <si>
    <t xml:space="preserve">tematica mariposas </t>
  </si>
  <si>
    <t xml:space="preserve">PAGÓ MP </t>
  </si>
  <si>
    <t>Claudio Carlone</t>
  </si>
  <si>
    <t xml:space="preserve">Tematica Huracan; ddl y ganache chocolate blanco </t>
  </si>
  <si>
    <t>FALTA PAGAR</t>
  </si>
  <si>
    <t>Tematica Lanus</t>
  </si>
  <si>
    <t>Falta pagar</t>
  </si>
  <si>
    <t xml:space="preserve">Alicia Ares </t>
  </si>
  <si>
    <t xml:space="preserve">En forma de corazon. Blanca con flores y cartelito. CAJA CON GLOBO CORAZON </t>
  </si>
  <si>
    <t>3/4 ir a retirar el pago. $7.000</t>
  </si>
  <si>
    <t>Luisita</t>
  </si>
  <si>
    <t xml:space="preserve">Julieta Caraci </t>
  </si>
  <si>
    <t>Antonella Labonia</t>
  </si>
  <si>
    <t>Ganache de chocolate blanco con pedacitos de oreo y dulce de leche en el centro, bizcochuelo de chocolate y de 8 a 10 macarrons colores pasteles de sabor chocolate negro.</t>
  </si>
  <si>
    <t>Seña 3.250 (MP) restan, 3.2350.</t>
  </si>
  <si>
    <t xml:space="preserve">Claudio carlone </t>
  </si>
  <si>
    <t xml:space="preserve"> Feliz cumple Jonhy</t>
  </si>
  <si>
    <t xml:space="preserve">Julieta Alvarado </t>
  </si>
  <si>
    <t>ver foto ( barbie borracha) Ganache de choco blanco, ddl con nuez, ganache oreo.</t>
  </si>
  <si>
    <t>mitas batata y mitad membriloo</t>
  </si>
  <si>
    <t>copito ddl con chocolate</t>
  </si>
  <si>
    <t>Euge (guardia)</t>
  </si>
  <si>
    <t>chips</t>
  </si>
  <si>
    <t>Alexsander</t>
  </si>
  <si>
    <t>Carina Alan</t>
  </si>
  <si>
    <t>Mariela IPEI</t>
  </si>
  <si>
    <t>SIN TACC N</t>
  </si>
  <si>
    <t xml:space="preserve">Estella </t>
  </si>
  <si>
    <t>johanna</t>
  </si>
  <si>
    <t xml:space="preserve">Frozzen </t>
  </si>
  <si>
    <t xml:space="preserve">mirta </t>
  </si>
  <si>
    <t xml:space="preserve">susana </t>
  </si>
  <si>
    <t>Valeria bernat</t>
  </si>
  <si>
    <t>DESAYUNO FORTNITE</t>
  </si>
  <si>
    <t xml:space="preserve">Vitor </t>
  </si>
  <si>
    <t>Valeria Lunazzi</t>
  </si>
  <si>
    <t xml:space="preserve">Vangy </t>
  </si>
  <si>
    <t xml:space="preserve">MERIENDA </t>
  </si>
  <si>
    <t>Florencia Leone</t>
  </si>
  <si>
    <t>Adriana Gutierrez</t>
  </si>
  <si>
    <t>TORTA BIZCOCHUELO CHOCO, DDL, CREMA Y BAÑO DE CHOCO SEMIAMARGO</t>
  </si>
  <si>
    <t>Nadia Hockey</t>
  </si>
  <si>
    <t>Con brownie</t>
  </si>
  <si>
    <t>Pago.</t>
  </si>
  <si>
    <t>Pato</t>
  </si>
  <si>
    <t>Alexia</t>
  </si>
  <si>
    <t>Candela</t>
  </si>
  <si>
    <t>Artículo</t>
  </si>
  <si>
    <t>Porciones</t>
  </si>
  <si>
    <t>Precio</t>
  </si>
  <si>
    <t>Costo</t>
  </si>
  <si>
    <t>Rentabilidad</t>
  </si>
  <si>
    <t>Rentabilidad %</t>
  </si>
  <si>
    <t>Alfajores de Nuez x12</t>
  </si>
  <si>
    <t>Budín de frutos secos</t>
  </si>
  <si>
    <t>Budín de limón</t>
  </si>
  <si>
    <t>Carrot Cake 22cm</t>
  </si>
  <si>
    <t>Carrot Cake Mini</t>
  </si>
  <si>
    <t>Cheescake 22cm</t>
  </si>
  <si>
    <t>Cheescake Mini</t>
  </si>
  <si>
    <t>Chocotorta clásica redonda 22cm</t>
  </si>
  <si>
    <t>Chocotorta clásica cuadrada Mini</t>
  </si>
  <si>
    <t>Cookies Chips Chocolatesx15</t>
  </si>
  <si>
    <t>Doble Oreo 22cm</t>
  </si>
  <si>
    <t>Doble Oreo Mini</t>
  </si>
  <si>
    <t>Lemon pie 24cm</t>
  </si>
  <si>
    <t>Lemon pie Mini</t>
  </si>
  <si>
    <t>Macarrons x 12 unidades</t>
  </si>
  <si>
    <t>Tarta de Manzana 22cm</t>
  </si>
  <si>
    <t>Tarta de Manzana Mini</t>
  </si>
  <si>
    <t>Torta brownie 20x20cm</t>
  </si>
  <si>
    <t>Torta brownie Mini</t>
  </si>
  <si>
    <t>Insumos</t>
  </si>
  <si>
    <t>Ventas</t>
  </si>
  <si>
    <t>Margen</t>
  </si>
  <si>
    <t>Insumo</t>
  </si>
  <si>
    <t>Unidad</t>
  </si>
  <si>
    <t>Cantidad</t>
  </si>
  <si>
    <t>CU</t>
  </si>
  <si>
    <t>Aceite</t>
  </si>
  <si>
    <t>Cm3</t>
  </si>
  <si>
    <t>albaca</t>
  </si>
  <si>
    <t>Almedras</t>
  </si>
  <si>
    <t>Grs</t>
  </si>
  <si>
    <t>aquafaba</t>
  </si>
  <si>
    <t xml:space="preserve">atun </t>
  </si>
  <si>
    <t>Azúcar</t>
  </si>
  <si>
    <t>Azúcar granulada</t>
  </si>
  <si>
    <t>Azúcar impalpable</t>
  </si>
  <si>
    <t>Azucar Negra</t>
  </si>
  <si>
    <t>Baggio</t>
  </si>
  <si>
    <t>Bandeja cuadrada 10x10</t>
  </si>
  <si>
    <t xml:space="preserve">bandeja mandera logo 25 cm </t>
  </si>
  <si>
    <t>Bandeja N°6 30x25</t>
  </si>
  <si>
    <t xml:space="preserve">Bandeja redonda 14 cm </t>
  </si>
  <si>
    <t>Bandeja redonda 24cm rigida</t>
  </si>
  <si>
    <t>Bandeja redonda 28cm logo</t>
  </si>
  <si>
    <t>Bandeja Rígida y logo 40x30</t>
  </si>
  <si>
    <t>Batata</t>
  </si>
  <si>
    <t>Bicarbonato de sodio</t>
  </si>
  <si>
    <t>Bloda n°12</t>
  </si>
  <si>
    <t>Blonda</t>
  </si>
  <si>
    <t>Bolsa 40x30</t>
  </si>
  <si>
    <t>bolsa condimento bondiola</t>
  </si>
  <si>
    <t>Bolsa de madera</t>
  </si>
  <si>
    <t>Bolsa de papel Argentina</t>
  </si>
  <si>
    <t>Bolsa de polipropileno x 100 un.</t>
  </si>
  <si>
    <t>Bolsitas 12x15</t>
  </si>
  <si>
    <t>Bombom corazon</t>
  </si>
  <si>
    <t xml:space="preserve">bondiola 1kg </t>
  </si>
  <si>
    <t>Botella vidrio 250cc</t>
  </si>
  <si>
    <t>brochette</t>
  </si>
  <si>
    <t>Budinera papel x500grms</t>
  </si>
  <si>
    <t>Cacao</t>
  </si>
  <si>
    <t xml:space="preserve">Cacao alcalino </t>
  </si>
  <si>
    <t>Café en saquito</t>
  </si>
  <si>
    <t>Café Instantaneo</t>
  </si>
  <si>
    <t>Caja maletin kraf 25x25x15</t>
  </si>
  <si>
    <t>Caja 32x25x10</t>
  </si>
  <si>
    <t>Caja desayuno 25x25</t>
  </si>
  <si>
    <t>Caja día del padre Messi</t>
  </si>
  <si>
    <t>Caja Drip Cake 25 x 25 x25</t>
  </si>
  <si>
    <t>Caja Drip Cake 30 x 30 x25</t>
  </si>
  <si>
    <t>Caja Flores</t>
  </si>
  <si>
    <t>Caja macarrons</t>
  </si>
  <si>
    <t>Caja macarrons x12</t>
  </si>
  <si>
    <t>Caja Medio huevo</t>
  </si>
  <si>
    <t>Caja mini torta 15X15x15</t>
  </si>
  <si>
    <t>Caja Navidad</t>
  </si>
  <si>
    <t xml:space="preserve">Caja pan dulce 1 kg </t>
  </si>
  <si>
    <t>Caja Pan dulce 1/2 kg</t>
  </si>
  <si>
    <t>Caja Rectangular n°</t>
  </si>
  <si>
    <t>Caja valija chica pascua</t>
  </si>
  <si>
    <t>Cajas dia del la madre '24</t>
  </si>
  <si>
    <t>Caju</t>
  </si>
  <si>
    <t xml:space="preserve">canape </t>
  </si>
  <si>
    <t>Capuccino Sense</t>
  </si>
  <si>
    <t>carne picada</t>
  </si>
  <si>
    <t xml:space="preserve">Cartulina </t>
  </si>
  <si>
    <t xml:space="preserve">Cebolla </t>
  </si>
  <si>
    <t>Cebolla deshidratada</t>
  </si>
  <si>
    <t>Cerezas</t>
  </si>
  <si>
    <t>Champagne chiquito</t>
  </si>
  <si>
    <t>Chips de chocolate</t>
  </si>
  <si>
    <t>Chocolatada 200ml</t>
  </si>
  <si>
    <t>Chocolate</t>
  </si>
  <si>
    <t>Chocolinas</t>
  </si>
  <si>
    <t xml:space="preserve">Cinta </t>
  </si>
  <si>
    <t>Coco rayado</t>
  </si>
  <si>
    <t>Colorante</t>
  </si>
  <si>
    <t>Colorante liposoluble</t>
  </si>
  <si>
    <t>Colorante liposoluble oro</t>
  </si>
  <si>
    <t>Crema de chocolate</t>
  </si>
  <si>
    <t>Crema de leche</t>
  </si>
  <si>
    <t>Crema vegana</t>
  </si>
  <si>
    <t>Cuchara pascua</t>
  </si>
  <si>
    <t>Disco dorado 24</t>
  </si>
  <si>
    <t>Dulce de leche</t>
  </si>
  <si>
    <t xml:space="preserve">Dulce de Leche VEGANO </t>
  </si>
  <si>
    <t>Esencia de vainilla</t>
  </si>
  <si>
    <t>Etiqueta</t>
  </si>
  <si>
    <t>Etiquetas Navidad</t>
  </si>
  <si>
    <t>Etiquetas Pascua</t>
  </si>
  <si>
    <t>Extracto de malta</t>
  </si>
  <si>
    <t>Fecula de Mandioca</t>
  </si>
  <si>
    <t>Ferrero rocher</t>
  </si>
  <si>
    <t>figaza de manteca</t>
  </si>
  <si>
    <t>Foto</t>
  </si>
  <si>
    <t>Frambuesas</t>
  </si>
  <si>
    <t>Frutas abrillantadas</t>
  </si>
  <si>
    <t>Frutilla</t>
  </si>
  <si>
    <t xml:space="preserve">frutos rojos congelados </t>
  </si>
  <si>
    <t>Galletitas lincoln</t>
  </si>
  <si>
    <t>Gelatina Sin Sabor</t>
  </si>
  <si>
    <t>Globo corazon</t>
  </si>
  <si>
    <t>Globo HALOWEEN</t>
  </si>
  <si>
    <t>Golosinas</t>
  </si>
  <si>
    <t>granas de color</t>
  </si>
  <si>
    <t>grasa</t>
  </si>
  <si>
    <t>Harina 000</t>
  </si>
  <si>
    <t>Harina 0000</t>
  </si>
  <si>
    <t>Harina de almendras</t>
  </si>
  <si>
    <t>Harina leudante</t>
  </si>
  <si>
    <t>Huevo</t>
  </si>
  <si>
    <t>Jamón cocido</t>
  </si>
  <si>
    <t>Jugo de limón</t>
  </si>
  <si>
    <t>Lata de durazno</t>
  </si>
  <si>
    <t xml:space="preserve">Leche </t>
  </si>
  <si>
    <t>LECHE CONDENSADA</t>
  </si>
  <si>
    <t>Lechuga</t>
  </si>
  <si>
    <t>Levadura</t>
  </si>
  <si>
    <t>Limón</t>
  </si>
  <si>
    <t xml:space="preserve">Maicena </t>
  </si>
  <si>
    <t>Malvavisco</t>
  </si>
  <si>
    <t>Mangas descartables N°2</t>
  </si>
  <si>
    <t>Mangas descartables N°4</t>
  </si>
  <si>
    <t>Manteca</t>
  </si>
  <si>
    <t>Manzana Verde</t>
  </si>
  <si>
    <t>Margarina</t>
  </si>
  <si>
    <t>Matecocido</t>
  </si>
  <si>
    <t xml:space="preserve">Mayonesa </t>
  </si>
  <si>
    <t>Membrillo</t>
  </si>
  <si>
    <t xml:space="preserve">Merenguitos </t>
  </si>
  <si>
    <t>Mermelada Frambuesa</t>
  </si>
  <si>
    <t xml:space="preserve">Miel </t>
  </si>
  <si>
    <t>Mix frutos secos</t>
  </si>
  <si>
    <t>Monde Pan dulce</t>
  </si>
  <si>
    <t>Nuez</t>
  </si>
  <si>
    <t>Nutella</t>
  </si>
  <si>
    <t>Oregano</t>
  </si>
  <si>
    <t>Oreos</t>
  </si>
  <si>
    <t>Palitos de Helado</t>
  </si>
  <si>
    <t>Papel antigrasa</t>
  </si>
  <si>
    <t>Papel varrilete</t>
  </si>
  <si>
    <t>Pasas de uva</t>
  </si>
  <si>
    <t xml:space="preserve">Pasta ballina </t>
  </si>
  <si>
    <t>Pasta de goma</t>
  </si>
  <si>
    <t>Pechuga de pollo</t>
  </si>
  <si>
    <t>Pirotines</t>
  </si>
  <si>
    <t>Polvo de hornear</t>
  </si>
  <si>
    <t xml:space="preserve">Porta Celular </t>
  </si>
  <si>
    <t>Pote chico</t>
  </si>
  <si>
    <t>Pote grande</t>
  </si>
  <si>
    <t xml:space="preserve">Premezcla </t>
  </si>
  <si>
    <t>Queso Crema</t>
  </si>
  <si>
    <t xml:space="preserve">Queso Fimbre </t>
  </si>
  <si>
    <t>Queso semiduro</t>
  </si>
  <si>
    <t>queso y cibouleet</t>
  </si>
  <si>
    <t>remolacha</t>
  </si>
  <si>
    <t>Ricota</t>
  </si>
  <si>
    <t>Rocklets</t>
  </si>
  <si>
    <t>Rocklets Argentina</t>
  </si>
  <si>
    <t>Saborizante</t>
  </si>
  <si>
    <t>Salsa de tomate</t>
  </si>
  <si>
    <t>Salvado de trigo</t>
  </si>
  <si>
    <t>Semillas de amapola</t>
  </si>
  <si>
    <t>30/0/2024</t>
  </si>
  <si>
    <t xml:space="preserve">tapa de empanada mendia copetin </t>
  </si>
  <si>
    <t>Taza</t>
  </si>
  <si>
    <t>Tomate</t>
  </si>
  <si>
    <t>Tomate cherry</t>
  </si>
  <si>
    <t>Vainillas</t>
  </si>
  <si>
    <t>Vaso Dessert Shot x100</t>
  </si>
  <si>
    <t>Viruta PAPEL</t>
  </si>
  <si>
    <t>Zanahoria</t>
  </si>
  <si>
    <t>caja dia de la madre 2024</t>
  </si>
  <si>
    <t>tarjeta de dia de la madre</t>
  </si>
  <si>
    <t xml:space="preserve">Crema de leche ledevit </t>
  </si>
  <si>
    <t>Avena</t>
  </si>
  <si>
    <t xml:space="preserve">Leche condensada </t>
  </si>
  <si>
    <t>Limas</t>
  </si>
  <si>
    <t>Nro.</t>
  </si>
  <si>
    <t>Receta</t>
  </si>
  <si>
    <t>Ingrediente</t>
  </si>
  <si>
    <t>Precio por 1</t>
  </si>
  <si>
    <t>Total</t>
  </si>
  <si>
    <t>Lemon pie 12cm</t>
  </si>
  <si>
    <t>Brownie 20x20cm</t>
  </si>
  <si>
    <t xml:space="preserve">Tarta Frutillas 24cm </t>
  </si>
  <si>
    <t>manteca</t>
  </si>
  <si>
    <t>huevo</t>
  </si>
  <si>
    <t>Bombas De DDL</t>
  </si>
  <si>
    <t>bombas De Crema</t>
  </si>
  <si>
    <t>Tarta de Coco</t>
  </si>
  <si>
    <t>azúcar</t>
  </si>
  <si>
    <t>Selva Negra 20 cm</t>
  </si>
  <si>
    <t>Tiramisu</t>
  </si>
  <si>
    <t>vainillas</t>
  </si>
  <si>
    <t>Cheese Cake 18cm</t>
  </si>
  <si>
    <t>Rogel</t>
  </si>
  <si>
    <t>Cheese Cake DDL 18cm</t>
  </si>
  <si>
    <t>Pastafrola</t>
  </si>
  <si>
    <t>Tarta Ricota</t>
  </si>
  <si>
    <t>Tarta Frutos Secos</t>
  </si>
  <si>
    <t>Alfajor Marplatense</t>
  </si>
  <si>
    <t>chocolate</t>
  </si>
  <si>
    <t>Alfajor Maicena</t>
  </si>
  <si>
    <t>harina leudante</t>
  </si>
  <si>
    <t xml:space="preserve">Chocotorta Redonda </t>
  </si>
  <si>
    <t>x</t>
  </si>
  <si>
    <t>Doble  Cake</t>
  </si>
  <si>
    <t>oreos</t>
  </si>
  <si>
    <t>Des- DIA DE LA MADRE</t>
  </si>
  <si>
    <t>viruta Papel</t>
  </si>
  <si>
    <t>foto</t>
  </si>
  <si>
    <t>bombom corazon</t>
  </si>
  <si>
    <t>Desayuno 108</t>
  </si>
  <si>
    <t>Cookies decoradas x 12u</t>
  </si>
  <si>
    <t>azúcar impalpable</t>
  </si>
  <si>
    <t>colorante</t>
  </si>
  <si>
    <t>Chipa 1/2 kg</t>
  </si>
  <si>
    <t>queso semiduro</t>
  </si>
  <si>
    <t>Pan Saborizado</t>
  </si>
  <si>
    <t>levadura</t>
  </si>
  <si>
    <t>margarina</t>
  </si>
  <si>
    <t>Halloween</t>
  </si>
  <si>
    <t>pirotines</t>
  </si>
  <si>
    <t>pote grande</t>
  </si>
  <si>
    <t>Frambuesas chicas</t>
  </si>
  <si>
    <t>frambuesas</t>
  </si>
  <si>
    <t>desayuno completo</t>
  </si>
  <si>
    <t>etiqueta</t>
  </si>
  <si>
    <t>papel antigrasa</t>
  </si>
  <si>
    <t>baggio</t>
  </si>
  <si>
    <t>Pan Dulce 700 gramos</t>
  </si>
  <si>
    <t xml:space="preserve">miel </t>
  </si>
  <si>
    <t>almedras</t>
  </si>
  <si>
    <t>etiquetas navidad</t>
  </si>
  <si>
    <t>Pan Dulce 1 KG</t>
  </si>
  <si>
    <t xml:space="preserve">caja pan dulce 1 kg </t>
  </si>
  <si>
    <t>box dia del medico</t>
  </si>
  <si>
    <t>champagne chiquito</t>
  </si>
  <si>
    <t>San Valentin "te amo"</t>
  </si>
  <si>
    <t xml:space="preserve">pasta ballina </t>
  </si>
  <si>
    <t>nutella</t>
  </si>
  <si>
    <t xml:space="preserve">San Valentin </t>
  </si>
  <si>
    <t>San Valentin</t>
  </si>
  <si>
    <t>desayuno opcion 3</t>
  </si>
  <si>
    <t>desayuno opcion3</t>
  </si>
  <si>
    <t>desayuno ocpion 3</t>
  </si>
  <si>
    <t>Bizcho 20 cm pasta ballina</t>
  </si>
  <si>
    <t>dulce de leche</t>
  </si>
  <si>
    <t>brownie 2 number cake</t>
  </si>
  <si>
    <t>Huevos Rellenos N15 chocotorta</t>
  </si>
  <si>
    <t>Pan de Molde de Salvado</t>
  </si>
  <si>
    <t>harina 000</t>
  </si>
  <si>
    <t>salvado de trigo</t>
  </si>
  <si>
    <t>azucar negra</t>
  </si>
  <si>
    <t>Ferrero Rocher 20cm</t>
  </si>
  <si>
    <t>crema de chocolate</t>
  </si>
  <si>
    <t>chips de chocolate</t>
  </si>
  <si>
    <t>Torta Buttercream 12 cm</t>
  </si>
  <si>
    <t xml:space="preserve">Balcarce 16 cm </t>
  </si>
  <si>
    <t>crema de leche</t>
  </si>
  <si>
    <t>lata de durazno</t>
  </si>
  <si>
    <t xml:space="preserve">merenguitos </t>
  </si>
  <si>
    <t>Panes Saborizados 740 gr</t>
  </si>
  <si>
    <t>extracto de malta</t>
  </si>
  <si>
    <t>cebolla deshidratada</t>
  </si>
  <si>
    <t>oregano</t>
  </si>
  <si>
    <t xml:space="preserve">Mini Budin (redondo) citricio </t>
  </si>
  <si>
    <t>Torta brownie 20cm frutos rojos</t>
  </si>
  <si>
    <t xml:space="preserve">Number Cake 1 número </t>
  </si>
  <si>
    <t xml:space="preserve">box pasteleros </t>
  </si>
  <si>
    <t>Box dia del Padre</t>
  </si>
  <si>
    <t>Grisines</t>
  </si>
  <si>
    <t>Pastelitos</t>
  </si>
  <si>
    <t>harina 0000</t>
  </si>
  <si>
    <t>membrillo</t>
  </si>
  <si>
    <t>Ferrero Rocher 16cm</t>
  </si>
  <si>
    <t>Drip Cake 16 Cm</t>
  </si>
  <si>
    <t>Pan Dulce OREO kilo</t>
  </si>
  <si>
    <t xml:space="preserve">cacao alcalino </t>
  </si>
  <si>
    <t>cc</t>
  </si>
  <si>
    <t xml:space="preserve">buttercream 20  cm </t>
  </si>
  <si>
    <t xml:space="preserve">buttercream 20 cm </t>
  </si>
  <si>
    <t xml:space="preserve">MINI CHEESCAKE </t>
  </si>
  <si>
    <t>Macarrons x 48 unidades</t>
  </si>
  <si>
    <t>Huevos Rellenos N12 chocotorta</t>
  </si>
  <si>
    <t>Huevos Rellenos N15 oreo</t>
  </si>
  <si>
    <t xml:space="preserve">pizzetas x 12 </t>
  </si>
  <si>
    <t xml:space="preserve">buttercream 22 cm </t>
  </si>
  <si>
    <t xml:space="preserve">PAN de campo </t>
  </si>
  <si>
    <t>Masas de manga / masas secas</t>
  </si>
  <si>
    <t>Heladitos x 6</t>
  </si>
  <si>
    <t>mini torta oreo VEGANA</t>
  </si>
  <si>
    <t xml:space="preserve">muffins decorados con pasta </t>
  </si>
  <si>
    <t>cookies chips de chocolate  12</t>
  </si>
  <si>
    <t xml:space="preserve">DESAYUNO MINI TORTA </t>
  </si>
  <si>
    <t>CHOCOTORTA CON DECO EN CHOCO</t>
  </si>
  <si>
    <t xml:space="preserve">muffins sin tacc 12 u. </t>
  </si>
  <si>
    <t xml:space="preserve">masa para tartas dulces Sin tacc </t>
  </si>
  <si>
    <t xml:space="preserve">relleno pastafrola sin tacc </t>
  </si>
  <si>
    <t>relleno ricota sin tacc</t>
  </si>
  <si>
    <t>alfajores de Maicena SIN TACC</t>
  </si>
  <si>
    <t xml:space="preserve">Galletitas Sin tacc </t>
  </si>
  <si>
    <t>bizcochuelo Sin Tacc</t>
  </si>
  <si>
    <t>medialunas SIN TACC</t>
  </si>
  <si>
    <t>Scons SIN TACC</t>
  </si>
  <si>
    <t>BUDIN SIN TACC</t>
  </si>
  <si>
    <t>CARROT CAKE SIN TACC</t>
  </si>
  <si>
    <t>TARTA DE MANZANA SIN TACC</t>
  </si>
  <si>
    <t>Mini budin x8 unidades</t>
  </si>
  <si>
    <t>Torta piñata</t>
  </si>
  <si>
    <t xml:space="preserve">Balcarse 20 cm </t>
  </si>
  <si>
    <t xml:space="preserve">Oreos Bañadas con deco </t>
  </si>
  <si>
    <t>Chocotorta rectangular 20x30 cm</t>
  </si>
  <si>
    <t xml:space="preserve">Arrollado con crema </t>
  </si>
  <si>
    <t>Huevos Rellenos N12 oreo</t>
  </si>
  <si>
    <t>Huevo copa del mundo</t>
  </si>
  <si>
    <t>Huevo Colorido N15</t>
  </si>
  <si>
    <t>Huevo Colorido N12</t>
  </si>
  <si>
    <t>Rosca de pascua</t>
  </si>
  <si>
    <t xml:space="preserve">Chips DOCENA </t>
  </si>
  <si>
    <t>Jamón Cocido</t>
  </si>
  <si>
    <t>Chips de pollo DOCENA</t>
  </si>
  <si>
    <t>Medalla de chocolate x3</t>
  </si>
  <si>
    <t>Figacitas de manteca 36 unidades</t>
  </si>
  <si>
    <t xml:space="preserve">Focaccia </t>
  </si>
  <si>
    <t>Pastelitos nuevos</t>
  </si>
  <si>
    <t>Bandeja redonda 26cm</t>
  </si>
  <si>
    <t>Scons de queso x16 unidades</t>
  </si>
  <si>
    <t>Desayuno Día del Padre 2023</t>
  </si>
  <si>
    <t>alfajores masa sable y deco ballina</t>
  </si>
  <si>
    <t>conitos de coco sin tacc</t>
  </si>
  <si>
    <t>tortitas negras sin tacc</t>
  </si>
  <si>
    <t>Brownie rectangular 30x20</t>
  </si>
  <si>
    <t>Pan Dulce x5 de 700 grms c/u</t>
  </si>
  <si>
    <t xml:space="preserve">Bizcochuelo 22 cm </t>
  </si>
  <si>
    <t>brownie vegano con merengue</t>
  </si>
  <si>
    <t>Dessert shot x6 Oreo</t>
  </si>
  <si>
    <t>Dessert shot x6 Chocotorta</t>
  </si>
  <si>
    <t>Dessert shot x6 Lemon Pie</t>
  </si>
  <si>
    <t>Dessert shot x6 Cheescake</t>
  </si>
  <si>
    <t>Dessert shot x6 Frutillas con crema</t>
  </si>
  <si>
    <t>Dessert shot x6 Brownie</t>
  </si>
  <si>
    <t>bizcochuelo 20 cm correcto</t>
  </si>
  <si>
    <t xml:space="preserve">red velvet </t>
  </si>
  <si>
    <t xml:space="preserve">canape de atun x 50 unidades </t>
  </si>
  <si>
    <t>canape de queso crema y cibulet x 50</t>
  </si>
  <si>
    <t>empanadas copetin x 24</t>
  </si>
  <si>
    <t xml:space="preserve">figacitas con bondiola </t>
  </si>
  <si>
    <t>pinchos capresse</t>
  </si>
  <si>
    <t xml:space="preserve">desayuno dia de la madre </t>
  </si>
  <si>
    <t>Torta Matilda 20 x 10</t>
  </si>
  <si>
    <t>desayuno dia del padre 2025</t>
  </si>
  <si>
    <t xml:space="preserve">Donas bañadas en choco </t>
  </si>
  <si>
    <t xml:space="preserve">cookies de avena y coco </t>
  </si>
  <si>
    <t xml:space="preserve">key lime Pie </t>
  </si>
  <si>
    <t xml:space="preserve">Unidad </t>
  </si>
  <si>
    <t>Bar</t>
  </si>
  <si>
    <t>Precio de venta recomendado 200%</t>
  </si>
  <si>
    <t>Costo total</t>
  </si>
  <si>
    <t>Ganancia Recomendada</t>
  </si>
  <si>
    <t>Precio de venta</t>
  </si>
  <si>
    <t>Doble puro</t>
  </si>
  <si>
    <t>Promo x2</t>
  </si>
  <si>
    <t>Precio unitario promo</t>
  </si>
  <si>
    <t>Ganancia por unidad promo</t>
  </si>
  <si>
    <t>Pan Dulce x1 de 700 grms c/u</t>
  </si>
  <si>
    <t>canape atun x 50 unidades</t>
  </si>
  <si>
    <t>Por pedido</t>
  </si>
  <si>
    <t>Por Mes (12 pedidos)</t>
  </si>
  <si>
    <t>Precio minorista</t>
  </si>
  <si>
    <t>Margen minorista</t>
  </si>
  <si>
    <t>Precio mayorista</t>
  </si>
  <si>
    <t>Margen mayorista</t>
  </si>
  <si>
    <t>Venta Bruta</t>
  </si>
  <si>
    <t>%</t>
  </si>
  <si>
    <t>Budín Limón</t>
  </si>
  <si>
    <t>Budín zanahoria</t>
  </si>
  <si>
    <t>Budín marmolado</t>
  </si>
  <si>
    <t>Budín frutos secos</t>
  </si>
  <si>
    <t>Lemon Pie</t>
  </si>
  <si>
    <t>Browrnie Oreo</t>
  </si>
  <si>
    <t>Chocotorta</t>
  </si>
  <si>
    <t>Cheese Cake Frutos rojos</t>
  </si>
  <si>
    <t>Torta Oreo</t>
  </si>
  <si>
    <t>Apple Crumble</t>
  </si>
  <si>
    <t>Macarrons x12</t>
  </si>
  <si>
    <t>Carrot Cake</t>
  </si>
  <si>
    <t>Pastafrola 7cm x 7cm</t>
  </si>
  <si>
    <t>Ricota 7cm x 7cm</t>
  </si>
  <si>
    <t>Coco y dulce de leche 7cm x 7cm</t>
  </si>
  <si>
    <t>Torta cumpleaños Selva Negra 20cm</t>
  </si>
  <si>
    <t xml:space="preserve">Pan de Campo </t>
  </si>
  <si>
    <t>cookies chips de chocolate x 12</t>
  </si>
  <si>
    <t>Catering para 50 personas</t>
  </si>
  <si>
    <t>Importe</t>
  </si>
  <si>
    <t>Canapé de Atún x 50u.</t>
  </si>
  <si>
    <t>Canapé de Queso crema y ciboullet x 50u.</t>
  </si>
  <si>
    <t>Empanadas Copetín x 50u.</t>
  </si>
  <si>
    <t>Figacitas de manteca con bondiola x 50u.</t>
  </si>
  <si>
    <t>Pincho Capresse x 50u.</t>
  </si>
  <si>
    <t>Chip de pollo x50</t>
  </si>
  <si>
    <t>Chips de pollo x 50u.</t>
  </si>
  <si>
    <t>Chip de fiambre x50</t>
  </si>
  <si>
    <t>Chips de jamón y queso x 50u.</t>
  </si>
  <si>
    <t>Pizzetas x50u.</t>
  </si>
  <si>
    <t/>
  </si>
  <si>
    <t>Q Pedidos</t>
  </si>
  <si>
    <t>Margen %</t>
  </si>
  <si>
    <t>Promedio por pedido</t>
  </si>
  <si>
    <t>Monto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</si>
</sst>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?_);_(@_)"/>
    <numFmt numFmtId="165" formatCode="_-* #,##0_-;\-* #,##0_-;_-* &quot;-&quot;??_-;_-@"/>
    <numFmt numFmtId="166" formatCode="_(* #,##0.00_);_(* \(#,##0.00\);_(* &quot;-&quot;???_);_(@_)"/>
    <numFmt numFmtId="167" formatCode="dd/mm/yyyy"/>
    <numFmt numFmtId="168" formatCode="_(* #,##0.0_);_(* \(#,##0.0\);_(* &quot;-&quot;???_);_(@_)"/>
    <numFmt numFmtId="169" formatCode="_-* #,##0.00_-;\-* #,##0.00_-;_-* &quot;-&quot;??_-;_-@"/>
  </numFmts>
  <fonts count="17">
    <font>
      <sz val="11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u/>
      <sz val="10.0"/>
      <color rgb="FF000000"/>
      <name val="Arial"/>
    </font>
    <font>
      <u/>
      <sz val="10.0"/>
      <color rgb="FF000000"/>
      <name val="Arial"/>
    </font>
    <font>
      <sz val="11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theme="1"/>
      <name val="Arial"/>
    </font>
    <font>
      <sz val="11.0"/>
      <color theme="1"/>
      <name val="Arial"/>
    </font>
    <font>
      <u/>
      <sz val="11.0"/>
      <color rgb="FF000000"/>
      <name val="Arial"/>
    </font>
    <font>
      <b/>
      <u/>
      <sz val="10.0"/>
      <color rgb="FF000000"/>
      <name val="Arial"/>
    </font>
    <font>
      <sz val="10.0"/>
      <color rgb="FFFFFFFF"/>
      <name val="Arial"/>
    </font>
    <font>
      <b/>
      <u/>
      <sz val="10.0"/>
      <color rgb="FF000000"/>
      <name val="Arial"/>
    </font>
    <font>
      <u/>
      <sz val="10.0"/>
      <color rgb="FF000000"/>
      <name val="Arial"/>
    </font>
    <font>
      <b/>
      <u/>
      <sz val="10.0"/>
      <color rgb="FF000000"/>
      <name val="Arial"/>
    </font>
    <font/>
  </fonts>
  <fills count="1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CCFF"/>
        <bgColor rgb="FFFFCCFF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CCFFCC"/>
        <bgColor rgb="FFCCFFCC"/>
      </patternFill>
    </fill>
    <fill>
      <patternFill patternType="solid">
        <fgColor rgb="FFC5E0B3"/>
        <bgColor rgb="FFC5E0B3"/>
      </patternFill>
    </fill>
    <fill>
      <patternFill patternType="solid">
        <fgColor rgb="FF95E379"/>
        <bgColor rgb="FF95E379"/>
      </patternFill>
    </fill>
    <fill>
      <patternFill patternType="solid">
        <fgColor rgb="FFECECEC"/>
        <bgColor rgb="FFECECE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3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1" numFmtId="0" xfId="0" applyAlignment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3" numFmtId="0" xfId="0" applyBorder="1" applyFont="1"/>
    <xf borderId="3" fillId="0" fontId="2" numFmtId="164" xfId="0" applyAlignment="1" applyBorder="1" applyFont="1" applyNumberFormat="1">
      <alignment shrinkToFit="0" vertical="top" wrapText="1"/>
    </xf>
    <xf borderId="3" fillId="0" fontId="2" numFmtId="14" xfId="0" applyAlignment="1" applyBorder="1" applyFont="1" applyNumberForma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2" fillId="0" fontId="2" numFmtId="0" xfId="0" applyBorder="1" applyFont="1"/>
    <xf borderId="4" fillId="0" fontId="2" numFmtId="164" xfId="0" applyAlignment="1" applyBorder="1" applyFont="1" applyNumberFormat="1">
      <alignment shrinkToFit="0" vertical="top" wrapText="1"/>
    </xf>
    <xf borderId="4" fillId="0" fontId="2" numFmtId="14" xfId="0" applyAlignment="1" applyBorder="1" applyFont="1" applyNumberForma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4" fillId="0" fontId="2" numFmtId="12" xfId="0" applyAlignment="1" applyBorder="1" applyFont="1" applyNumberFormat="1">
      <alignment horizontal="left" shrinkToFit="0" vertical="top" wrapText="1"/>
    </xf>
    <xf borderId="4" fillId="3" fontId="2" numFmtId="164" xfId="0" applyAlignment="1" applyBorder="1" applyFill="1" applyFont="1" applyNumberFormat="1">
      <alignment shrinkToFit="0" vertical="top" wrapText="1"/>
    </xf>
    <xf borderId="4" fillId="3" fontId="2" numFmtId="14" xfId="0" applyAlignment="1" applyBorder="1" applyFont="1" applyNumberFormat="1">
      <alignment shrinkToFit="0" vertical="top" wrapText="1"/>
    </xf>
    <xf borderId="4" fillId="4" fontId="2" numFmtId="164" xfId="0" applyAlignment="1" applyBorder="1" applyFill="1" applyFont="1" applyNumberFormat="1">
      <alignment shrinkToFit="0" vertical="top" wrapText="1"/>
    </xf>
    <xf borderId="4" fillId="4" fontId="2" numFmtId="14" xfId="0" applyAlignment="1" applyBorder="1" applyFont="1" applyNumberFormat="1">
      <alignment shrinkToFit="0" vertical="top" wrapText="1"/>
    </xf>
    <xf borderId="4" fillId="4" fontId="2" numFmtId="0" xfId="0" applyAlignment="1" applyBorder="1" applyFont="1">
      <alignment shrinkToFit="0" vertical="top" wrapText="1"/>
    </xf>
    <xf borderId="4" fillId="0" fontId="2" numFmtId="12" xfId="0" applyAlignment="1" applyBorder="1" applyFont="1" applyNumberFormat="1">
      <alignment horizontal="right" shrinkToFit="0" vertical="top" wrapText="1"/>
    </xf>
    <xf borderId="4" fillId="0" fontId="2" numFmtId="12" xfId="0" applyAlignment="1" applyBorder="1" applyFont="1" applyNumberFormat="1">
      <alignment shrinkToFit="0" vertical="top" wrapText="1"/>
    </xf>
    <xf borderId="4" fillId="0" fontId="2" numFmtId="2" xfId="0" applyAlignment="1" applyBorder="1" applyFont="1" applyNumberFormat="1">
      <alignment shrinkToFit="0" vertical="top" wrapText="1"/>
    </xf>
    <xf borderId="4" fillId="3" fontId="2" numFmtId="12" xfId="0" applyAlignment="1" applyBorder="1" applyFont="1" applyNumberFormat="1">
      <alignment shrinkToFit="0" vertical="top" wrapText="1"/>
    </xf>
    <xf borderId="4" fillId="3" fontId="2" numFmtId="0" xfId="0" applyAlignment="1" applyBorder="1" applyFont="1">
      <alignment shrinkToFit="0" vertical="top" wrapText="1"/>
    </xf>
    <xf borderId="4" fillId="0" fontId="4" numFmtId="164" xfId="0" applyAlignment="1" applyBorder="1" applyFont="1" applyNumberFormat="1">
      <alignment shrinkToFit="0" vertical="top" wrapText="1"/>
    </xf>
    <xf borderId="4" fillId="2" fontId="2" numFmtId="0" xfId="0" applyAlignment="1" applyBorder="1" applyFont="1">
      <alignment shrinkToFit="0" vertical="top" wrapText="1"/>
    </xf>
    <xf borderId="5" fillId="0" fontId="2" numFmtId="164" xfId="0" applyAlignment="1" applyBorder="1" applyFont="1" applyNumberFormat="1">
      <alignment shrinkToFit="0" vertical="top" wrapText="1"/>
    </xf>
    <xf borderId="5" fillId="0" fontId="2" numFmtId="14" xfId="0" applyAlignment="1" applyBorder="1" applyFont="1" applyNumberFormat="1">
      <alignment shrinkToFit="0" vertical="top" wrapText="1"/>
    </xf>
    <xf borderId="5" fillId="0" fontId="2" numFmtId="12" xfId="0" applyAlignment="1" applyBorder="1" applyFont="1" applyNumberForma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0" fillId="0" fontId="5" numFmtId="14" xfId="0" applyFont="1" applyNumberFormat="1"/>
    <xf borderId="0" fillId="0" fontId="6" numFmtId="0" xfId="0" applyFont="1"/>
    <xf borderId="0" fillId="0" fontId="7" numFmtId="0" xfId="0" applyFont="1"/>
    <xf borderId="6" fillId="5" fontId="6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7" fillId="0" fontId="7" numFmtId="0" xfId="0" applyBorder="1" applyFont="1"/>
    <xf borderId="8" fillId="0" fontId="7" numFmtId="0" xfId="0" applyBorder="1" applyFont="1"/>
    <xf borderId="7" fillId="0" fontId="7" numFmtId="164" xfId="0" applyBorder="1" applyFont="1" applyNumberFormat="1"/>
    <xf borderId="8" fillId="0" fontId="7" numFmtId="164" xfId="0" applyBorder="1" applyFont="1" applyNumberFormat="1"/>
    <xf borderId="7" fillId="0" fontId="7" numFmtId="9" xfId="0" applyBorder="1" applyFont="1" applyNumberFormat="1"/>
    <xf borderId="9" fillId="0" fontId="7" numFmtId="0" xfId="0" applyBorder="1" applyFont="1"/>
    <xf borderId="10" fillId="0" fontId="7" numFmtId="0" xfId="0" applyBorder="1" applyFont="1"/>
    <xf borderId="9" fillId="0" fontId="7" numFmtId="164" xfId="0" applyBorder="1" applyFont="1" applyNumberFormat="1"/>
    <xf borderId="10" fillId="0" fontId="7" numFmtId="164" xfId="0" applyBorder="1" applyFont="1" applyNumberFormat="1"/>
    <xf borderId="9" fillId="0" fontId="7" numFmtId="9" xfId="0" applyBorder="1" applyFont="1" applyNumberFormat="1"/>
    <xf borderId="11" fillId="0" fontId="7" numFmtId="0" xfId="0" applyBorder="1" applyFont="1"/>
    <xf borderId="12" fillId="0" fontId="7" numFmtId="0" xfId="0" applyBorder="1" applyFont="1"/>
    <xf borderId="11" fillId="0" fontId="7" numFmtId="164" xfId="0" applyBorder="1" applyFont="1" applyNumberFormat="1"/>
    <xf borderId="12" fillId="0" fontId="7" numFmtId="164" xfId="0" applyBorder="1" applyFont="1" applyNumberFormat="1"/>
    <xf borderId="11" fillId="0" fontId="7" numFmtId="9" xfId="0" applyBorder="1" applyFont="1" applyNumberFormat="1"/>
    <xf borderId="0" fillId="0" fontId="9" numFmtId="0" xfId="0" applyFont="1"/>
    <xf borderId="0" fillId="0" fontId="5" numFmtId="17" xfId="0" applyFont="1" applyNumberFormat="1"/>
    <xf borderId="0" fillId="0" fontId="5" numFmtId="165" xfId="0" applyFont="1" applyNumberFormat="1"/>
    <xf borderId="0" fillId="0" fontId="5" numFmtId="9" xfId="0" applyFont="1" applyNumberFormat="1"/>
    <xf borderId="0" fillId="0" fontId="10" numFmtId="0" xfId="0" applyFont="1"/>
    <xf borderId="0" fillId="0" fontId="2" numFmtId="164" xfId="0" applyFont="1" applyNumberFormat="1"/>
    <xf borderId="13" fillId="6" fontId="2" numFmtId="0" xfId="0" applyBorder="1" applyFill="1" applyFont="1"/>
    <xf borderId="0" fillId="0" fontId="1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5" fillId="0" fontId="2" numFmtId="164" xfId="0" applyBorder="1" applyFont="1" applyNumberFormat="1"/>
    <xf borderId="15" fillId="0" fontId="2" numFmtId="166" xfId="0" applyBorder="1" applyFont="1" applyNumberFormat="1"/>
    <xf borderId="15" fillId="0" fontId="2" numFmtId="14" xfId="0" applyAlignment="1" applyBorder="1" applyFont="1" applyNumberFormat="1">
      <alignment horizontal="center" vertical="center"/>
    </xf>
    <xf borderId="2" fillId="0" fontId="2" numFmtId="164" xfId="0" applyBorder="1" applyFont="1" applyNumberFormat="1"/>
    <xf borderId="2" fillId="0" fontId="2" numFmtId="166" xfId="0" applyBorder="1" applyFont="1" applyNumberFormat="1"/>
    <xf borderId="2" fillId="0" fontId="2" numFmtId="14" xfId="0" applyAlignment="1" applyBorder="1" applyFont="1" applyNumberFormat="1">
      <alignment horizontal="center" vertical="center"/>
    </xf>
    <xf borderId="16" fillId="7" fontId="2" numFmtId="0" xfId="0" applyBorder="1" applyFill="1" applyFont="1"/>
    <xf borderId="2" fillId="0" fontId="2" numFmtId="14" xfId="0" applyAlignment="1" applyBorder="1" applyFont="1" applyNumberFormat="1">
      <alignment horizontal="center" readingOrder="0" vertical="center"/>
    </xf>
    <xf borderId="16" fillId="8" fontId="2" numFmtId="0" xfId="0" applyBorder="1" applyFill="1" applyFont="1"/>
    <xf borderId="2" fillId="0" fontId="2" numFmtId="164" xfId="0" applyAlignment="1" applyBorder="1" applyFont="1" applyNumberFormat="1">
      <alignment readingOrder="0"/>
    </xf>
    <xf borderId="16" fillId="9" fontId="2" numFmtId="0" xfId="0" applyBorder="1" applyFill="1" applyFont="1"/>
    <xf borderId="17" fillId="0" fontId="2" numFmtId="0" xfId="0" applyBorder="1" applyFont="1"/>
    <xf borderId="2" fillId="0" fontId="2" numFmtId="167" xfId="0" applyAlignment="1" applyBorder="1" applyFont="1" applyNumberFormat="1">
      <alignment horizontal="center" readingOrder="0" vertical="center"/>
    </xf>
    <xf borderId="16" fillId="10" fontId="2" numFmtId="0" xfId="0" applyBorder="1" applyFill="1" applyFont="1"/>
    <xf borderId="18" fillId="0" fontId="2" numFmtId="0" xfId="0" applyBorder="1" applyFont="1"/>
    <xf borderId="18" fillId="0" fontId="2" numFmtId="164" xfId="0" applyBorder="1" applyFont="1" applyNumberFormat="1"/>
    <xf borderId="18" fillId="0" fontId="2" numFmtId="14" xfId="0" applyAlignment="1" applyBorder="1" applyFont="1" applyNumberFormat="1">
      <alignment horizontal="center" vertical="center"/>
    </xf>
    <xf borderId="13" fillId="6" fontId="2" numFmtId="164" xfId="0" applyBorder="1" applyFont="1" applyNumberFormat="1"/>
    <xf borderId="0" fillId="0" fontId="12" numFmtId="0" xfId="0" applyFont="1"/>
    <xf borderId="0" fillId="0" fontId="12" numFmtId="164" xfId="0" applyFont="1" applyNumberFormat="1"/>
    <xf borderId="0" fillId="0" fontId="12" numFmtId="168" xfId="0" applyFont="1" applyNumberFormat="1"/>
    <xf borderId="14" fillId="2" fontId="13" numFmtId="0" xfId="0" applyAlignment="1" applyBorder="1" applyFont="1">
      <alignment horizontal="center" shrinkToFit="0" vertical="center" wrapText="1"/>
    </xf>
    <xf borderId="14" fillId="2" fontId="1" numFmtId="164" xfId="0" applyAlignment="1" applyBorder="1" applyFont="1" applyNumberFormat="1">
      <alignment horizontal="center" shrinkToFit="0" vertical="center" wrapText="1"/>
    </xf>
    <xf borderId="14" fillId="2" fontId="1" numFmtId="168" xfId="0" applyAlignment="1" applyBorder="1" applyFont="1" applyNumberFormat="1">
      <alignment horizontal="center" shrinkToFit="0" vertical="center" wrapText="1"/>
    </xf>
    <xf borderId="14" fillId="11" fontId="2" numFmtId="0" xfId="0" applyBorder="1" applyFill="1" applyFont="1"/>
    <xf borderId="16" fillId="11" fontId="2" numFmtId="0" xfId="0" applyBorder="1" applyFont="1"/>
    <xf borderId="2" fillId="0" fontId="2" numFmtId="168" xfId="0" applyBorder="1" applyFont="1" applyNumberFormat="1"/>
    <xf borderId="15" fillId="11" fontId="2" numFmtId="0" xfId="0" applyBorder="1" applyFont="1"/>
    <xf borderId="2" fillId="11" fontId="2" numFmtId="0" xfId="0" applyBorder="1" applyFont="1"/>
    <xf borderId="18" fillId="11" fontId="2" numFmtId="0" xfId="0" applyBorder="1" applyFont="1"/>
    <xf borderId="19" fillId="11" fontId="2" numFmtId="0" xfId="0" applyBorder="1" applyFont="1"/>
    <xf borderId="16" fillId="12" fontId="2" numFmtId="0" xfId="0" applyBorder="1" applyFill="1" applyFont="1"/>
    <xf borderId="19" fillId="12" fontId="2" numFmtId="0" xfId="0" applyBorder="1" applyFont="1"/>
    <xf borderId="16" fillId="13" fontId="2" numFmtId="0" xfId="0" applyBorder="1" applyFill="1" applyFont="1"/>
    <xf borderId="19" fillId="13" fontId="2" numFmtId="0" xfId="0" applyBorder="1" applyFont="1"/>
    <xf borderId="19" fillId="8" fontId="2" numFmtId="0" xfId="0" applyBorder="1" applyFont="1"/>
    <xf borderId="7" fillId="0" fontId="2" numFmtId="0" xfId="0" applyBorder="1" applyFont="1"/>
    <xf borderId="7" fillId="0" fontId="2" numFmtId="164" xfId="0" applyBorder="1" applyFont="1" applyNumberFormat="1"/>
    <xf borderId="9" fillId="0" fontId="2" numFmtId="0" xfId="0" applyBorder="1" applyFont="1"/>
    <xf borderId="9" fillId="0" fontId="2" numFmtId="164" xfId="0" applyBorder="1" applyFont="1" applyNumberFormat="1"/>
    <xf borderId="11" fillId="0" fontId="2" numFmtId="0" xfId="0" applyBorder="1" applyFont="1"/>
    <xf borderId="11" fillId="0" fontId="2" numFmtId="164" xfId="0" applyBorder="1" applyFont="1" applyNumberFormat="1"/>
    <xf borderId="13" fillId="2" fontId="2" numFmtId="0" xfId="0" applyBorder="1" applyFont="1"/>
    <xf borderId="0" fillId="0" fontId="2" numFmtId="169" xfId="0" applyFont="1" applyNumberFormat="1"/>
    <xf borderId="15" fillId="0" fontId="2" numFmtId="168" xfId="0" applyBorder="1" applyFont="1" applyNumberFormat="1"/>
    <xf borderId="14" fillId="8" fontId="2" numFmtId="0" xfId="0" applyBorder="1" applyFont="1"/>
    <xf borderId="20" fillId="0" fontId="2" numFmtId="0" xfId="0" applyBorder="1" applyFont="1"/>
    <xf borderId="18" fillId="0" fontId="2" numFmtId="168" xfId="0" applyBorder="1" applyFont="1" applyNumberFormat="1"/>
    <xf borderId="14" fillId="13" fontId="2" numFmtId="0" xfId="0" applyBorder="1" applyFont="1"/>
    <xf borderId="21" fillId="0" fontId="2" numFmtId="0" xfId="0" applyBorder="1" applyFont="1"/>
    <xf borderId="21" fillId="0" fontId="2" numFmtId="164" xfId="0" applyBorder="1" applyFont="1" applyNumberFormat="1"/>
    <xf borderId="2" fillId="0" fontId="2" numFmtId="0" xfId="0" applyAlignment="1" applyBorder="1" applyFont="1">
      <alignment horizontal="left"/>
    </xf>
    <xf borderId="2" fillId="0" fontId="14" numFmtId="0" xfId="0" applyBorder="1" applyFont="1"/>
    <xf borderId="10" fillId="0" fontId="2" numFmtId="0" xfId="0" applyBorder="1" applyFont="1"/>
    <xf borderId="22" fillId="0" fontId="2" numFmtId="164" xfId="0" applyBorder="1" applyFont="1" applyNumberFormat="1"/>
    <xf borderId="17" fillId="0" fontId="2" numFmtId="168" xfId="0" applyBorder="1" applyFont="1" applyNumberFormat="1"/>
    <xf borderId="2" fillId="0" fontId="1" numFmtId="0" xfId="0" applyBorder="1" applyFont="1"/>
    <xf borderId="0" fillId="0" fontId="5" numFmtId="168" xfId="0" applyFont="1" applyNumberFormat="1"/>
    <xf borderId="0" fillId="0" fontId="1" numFmtId="0" xfId="0" applyAlignment="1" applyFont="1">
      <alignment shrinkToFit="0" wrapText="1"/>
    </xf>
    <xf borderId="1" fillId="5" fontId="1" numFmtId="0" xfId="0" applyAlignment="1" applyBorder="1" applyFont="1">
      <alignment horizontal="center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15" numFmtId="0" xfId="0" applyFont="1"/>
    <xf borderId="24" fillId="0" fontId="2" numFmtId="164" xfId="0" applyBorder="1" applyFont="1" applyNumberFormat="1"/>
    <xf borderId="15" fillId="0" fontId="2" numFmtId="0" xfId="0" applyBorder="1" applyFont="1"/>
    <xf borderId="15" fillId="0" fontId="2" numFmtId="164" xfId="0" applyBorder="1" applyFont="1" applyNumberFormat="1"/>
    <xf borderId="14" fillId="8" fontId="2" numFmtId="0" xfId="0" applyBorder="1" applyFont="1"/>
    <xf borderId="15" fillId="0" fontId="2" numFmtId="164" xfId="0" applyAlignment="1" applyBorder="1" applyFont="1" applyNumberFormat="1">
      <alignment horizontal="left"/>
    </xf>
    <xf borderId="15" fillId="0" fontId="2" numFmtId="9" xfId="0" applyBorder="1" applyFont="1" applyNumberFormat="1"/>
    <xf borderId="25" fillId="0" fontId="2" numFmtId="0" xfId="0" applyBorder="1" applyFont="1"/>
    <xf borderId="17" fillId="0" fontId="2" numFmtId="164" xfId="0" applyBorder="1" applyFont="1" applyNumberFormat="1"/>
    <xf borderId="2" fillId="0" fontId="2" numFmtId="0" xfId="0" applyBorder="1" applyFont="1"/>
    <xf borderId="2" fillId="0" fontId="2" numFmtId="164" xfId="0" applyBorder="1" applyFont="1" applyNumberFormat="1"/>
    <xf borderId="16" fillId="8" fontId="2" numFmtId="0" xfId="0" applyBorder="1" applyFont="1"/>
    <xf borderId="2" fillId="0" fontId="2" numFmtId="164" xfId="0" applyAlignment="1" applyBorder="1" applyFont="1" applyNumberFormat="1">
      <alignment horizontal="left"/>
    </xf>
    <xf borderId="2" fillId="0" fontId="2" numFmtId="9" xfId="0" applyBorder="1" applyFont="1" applyNumberFormat="1"/>
    <xf borderId="20" fillId="0" fontId="2" numFmtId="0" xfId="0" applyBorder="1" applyFont="1"/>
    <xf borderId="20" fillId="0" fontId="2" numFmtId="164" xfId="0" applyBorder="1" applyFont="1" applyNumberFormat="1"/>
    <xf borderId="2" fillId="0" fontId="2" numFmtId="3" xfId="0" applyBorder="1" applyFont="1" applyNumberFormat="1"/>
    <xf borderId="26" fillId="0" fontId="2" numFmtId="164" xfId="0" applyBorder="1" applyFont="1" applyNumberFormat="1"/>
    <xf borderId="18" fillId="0" fontId="2" numFmtId="0" xfId="0" applyBorder="1" applyFont="1"/>
    <xf borderId="18" fillId="0" fontId="2" numFmtId="164" xfId="0" applyBorder="1" applyFont="1" applyNumberFormat="1"/>
    <xf borderId="18" fillId="0" fontId="2" numFmtId="164" xfId="0" applyAlignment="1" applyBorder="1" applyFont="1" applyNumberFormat="1">
      <alignment horizontal="left"/>
    </xf>
    <xf borderId="18" fillId="0" fontId="2" numFmtId="9" xfId="0" applyBorder="1" applyFont="1" applyNumberFormat="1"/>
    <xf borderId="27" fillId="0" fontId="2" numFmtId="0" xfId="0" applyBorder="1" applyFont="1"/>
    <xf borderId="28" fillId="0" fontId="6" numFmtId="164" xfId="0" applyBorder="1" applyFont="1" applyNumberFormat="1"/>
    <xf borderId="29" fillId="2" fontId="6" numFmtId="164" xfId="0" applyAlignment="1" applyBorder="1" applyFont="1" applyNumberFormat="1">
      <alignment horizontal="center" vertical="center"/>
    </xf>
    <xf borderId="30" fillId="0" fontId="16" numFmtId="0" xfId="0" applyBorder="1" applyFont="1"/>
    <xf borderId="31" fillId="0" fontId="16" numFmtId="0" xfId="0" applyBorder="1" applyFont="1"/>
    <xf borderId="0" fillId="0" fontId="6" numFmtId="0" xfId="0" applyAlignment="1" applyFont="1">
      <alignment horizontal="center" shrinkToFit="0" vertical="center" wrapText="1"/>
    </xf>
    <xf borderId="32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3" fillId="2" fontId="6" numFmtId="0" xfId="0" applyAlignment="1" applyBorder="1" applyFont="1">
      <alignment horizontal="center" shrinkToFit="0" vertical="center" wrapText="1"/>
    </xf>
    <xf borderId="0" fillId="0" fontId="7" numFmtId="9" xfId="0" applyFont="1" applyNumberFormat="1"/>
    <xf borderId="0" fillId="0" fontId="7" numFmtId="164" xfId="0" applyFont="1" applyNumberFormat="1"/>
    <xf borderId="34" fillId="8" fontId="7" numFmtId="164" xfId="0" applyBorder="1" applyFont="1" applyNumberFormat="1"/>
    <xf borderId="1" fillId="5" fontId="6" numFmtId="0" xfId="0" applyAlignment="1" applyBorder="1" applyFont="1">
      <alignment horizontal="center"/>
    </xf>
    <xf borderId="3" fillId="0" fontId="7" numFmtId="0" xfId="0" applyBorder="1" applyFont="1"/>
    <xf borderId="3" fillId="0" fontId="7" numFmtId="164" xfId="0" applyBorder="1" applyFont="1" applyNumberFormat="1"/>
    <xf borderId="4" fillId="0" fontId="7" numFmtId="0" xfId="0" applyBorder="1" applyFont="1"/>
    <xf borderId="4" fillId="0" fontId="7" numFmtId="164" xfId="0" applyBorder="1" applyFont="1" applyNumberFormat="1"/>
    <xf borderId="5" fillId="0" fontId="7" numFmtId="0" xfId="0" applyBorder="1" applyFont="1"/>
    <xf borderId="35" fillId="0" fontId="7" numFmtId="0" xfId="0" applyBorder="1" applyFont="1"/>
    <xf borderId="5" fillId="0" fontId="7" numFmtId="164" xfId="0" applyBorder="1" applyFont="1" applyNumberFormat="1"/>
    <xf borderId="1" fillId="0" fontId="7" numFmtId="164" xfId="0" applyBorder="1" applyFont="1" applyNumberFormat="1"/>
    <xf borderId="15" fillId="0" fontId="2" numFmtId="164" xfId="0" applyAlignment="1" applyBorder="1" applyFont="1" applyNumberFormat="1">
      <alignment shrinkToFit="0" vertical="top" wrapText="1"/>
    </xf>
    <xf borderId="15" fillId="0" fontId="2" numFmtId="14" xfId="0" applyAlignment="1" applyBorder="1" applyFont="1" applyNumberFormat="1">
      <alignment shrinkToFit="0" vertical="top" wrapText="1"/>
    </xf>
    <xf borderId="15" fillId="0" fontId="2" numFmtId="0" xfId="0" applyAlignment="1" applyBorder="1" applyFont="1">
      <alignment shrinkToFit="0" vertical="top" wrapText="1"/>
    </xf>
    <xf borderId="2" fillId="0" fontId="2" numFmtId="164" xfId="0" applyAlignment="1" applyBorder="1" applyFont="1" applyNumberFormat="1">
      <alignment shrinkToFit="0" vertical="top" wrapText="1"/>
    </xf>
    <xf borderId="2" fillId="0" fontId="2" numFmtId="14" xfId="0" applyAlignment="1" applyBorder="1" applyFont="1" applyNumberForma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1" fillId="0" fontId="2" numFmtId="164" xfId="0" applyAlignment="1" applyBorder="1" applyFont="1" applyNumberFormat="1">
      <alignment shrinkToFit="0" vertical="top" wrapText="1"/>
    </xf>
    <xf borderId="21" fillId="0" fontId="2" numFmtId="14" xfId="0" applyAlignment="1" applyBorder="1" applyFont="1" applyNumberFormat="1">
      <alignment shrinkToFit="0" vertical="top" wrapText="1"/>
    </xf>
    <xf borderId="21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12" xfId="0" applyAlignment="1" applyBorder="1" applyFont="1" applyNumberFormat="1">
      <alignment horizontal="left" shrinkToFit="0" vertical="top" wrapText="1"/>
    </xf>
    <xf borderId="21" fillId="0" fontId="2" numFmtId="12" xfId="0" applyAlignment="1" applyBorder="1" applyFont="1" applyNumberFormat="1">
      <alignment horizontal="left" shrinkToFit="0" vertical="top" wrapText="1"/>
    </xf>
    <xf borderId="18" fillId="0" fontId="2" numFmtId="164" xfId="0" applyAlignment="1" applyBorder="1" applyFont="1" applyNumberFormat="1">
      <alignment shrinkToFit="0" vertical="top" wrapText="1"/>
    </xf>
    <xf borderId="18" fillId="0" fontId="2" numFmtId="14" xfId="0" applyAlignment="1" applyBorder="1" applyFont="1" applyNumberFormat="1">
      <alignment shrinkToFit="0" vertical="top" wrapText="1"/>
    </xf>
    <xf borderId="18" fillId="0" fontId="2" numFmtId="0" xfId="0" applyAlignment="1" applyBorder="1" applyFont="1">
      <alignment shrinkToFit="0" vertical="top" wrapText="1"/>
    </xf>
    <xf borderId="0" fillId="0" fontId="2" numFmtId="3" xfId="0" applyFont="1" applyNumberFormat="1"/>
    <xf borderId="28" fillId="0" fontId="6" numFmtId="9" xfId="0" applyBorder="1" applyFont="1" applyNumberFormat="1"/>
    <xf borderId="32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9" fillId="0" fontId="7" numFmtId="14" xfId="0" applyBorder="1" applyFont="1" applyNumberFormat="1"/>
    <xf borderId="9" fillId="0" fontId="7" numFmtId="14" xfId="0" applyAlignment="1" applyBorder="1" applyFont="1" applyNumberFormat="1">
      <alignment vertical="center"/>
    </xf>
  </cellXfs>
  <cellStyles count="1">
    <cellStyle xfId="0" name="Normal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osto x Articulo-style">
      <tableStyleElement dxfId="2" type="headerRow"/>
      <tableStyleElement dxfId="3" type="firstRowStripe"/>
      <tableStyleElement dxfId="4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O153" displayName="Table_1" name="Table_1" id="1">
  <tableColumns count="14">
    <tableColumn name="Nro." id="1"/>
    <tableColumn name="Artículo" id="2"/>
    <tableColumn name="Precio" id="3"/>
    <tableColumn name="Bar" id="4"/>
    <tableColumn name="Precio de venta recomendado 200%" id="5"/>
    <tableColumn name="Costo total" id="6"/>
    <tableColumn name="Ganancia Recomendada" id="7"/>
    <tableColumn name="Precio de venta" id="8"/>
    <tableColumn name="Ganancia" id="9"/>
    <tableColumn name="Margen" id="10"/>
    <tableColumn name="Doble puro" id="11"/>
    <tableColumn name="Promo x2" id="12"/>
    <tableColumn name="Precio unitario promo" id="13"/>
    <tableColumn name="Ganancia por unidad promo" id="14"/>
  </tableColumns>
  <tableStyleInfo name="Costo x Articu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7.63"/>
    <col customWidth="1" min="3" max="5" width="9.38"/>
    <col customWidth="1" min="6" max="7" width="17.88"/>
    <col customWidth="1" min="8" max="8" width="24.0"/>
    <col customWidth="1" min="9" max="9" width="40.0"/>
    <col customWidth="1" min="10" max="13" width="9.88"/>
    <col customWidth="1" min="14" max="14" width="24.63"/>
    <col customWidth="1" min="15" max="30" width="7.63"/>
  </cols>
  <sheetData>
    <row r="1" ht="12.7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2.75" customHeight="1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2.75" customHeight="1">
      <c r="A3" s="4"/>
      <c r="B3" s="5" t="s">
        <v>0</v>
      </c>
      <c r="C3" s="6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9"/>
      <c r="B4" s="10">
        <v>1.0</v>
      </c>
      <c r="C4" s="11">
        <v>44100.0</v>
      </c>
      <c r="D4" s="10">
        <f t="shared" ref="D4:D459" si="1">IF(C4="","",YEAR(C4))</f>
        <v>2020</v>
      </c>
      <c r="E4" s="10">
        <f t="shared" ref="E4:E459" si="2">IF(C4="","",MONTH(C4))</f>
        <v>9</v>
      </c>
      <c r="F4" s="11" t="s">
        <v>13</v>
      </c>
      <c r="G4" s="12">
        <v>2.0</v>
      </c>
      <c r="H4" s="12" t="s">
        <v>14</v>
      </c>
      <c r="I4" s="12" t="s">
        <v>15</v>
      </c>
      <c r="J4" s="10">
        <v>5.0</v>
      </c>
      <c r="K4" s="10">
        <v>147.0</v>
      </c>
      <c r="L4" s="10">
        <v>350.0</v>
      </c>
      <c r="M4" s="10">
        <f t="shared" ref="M4:M68" si="3">L4-K4</f>
        <v>203</v>
      </c>
      <c r="N4" s="1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3"/>
      <c r="B5" s="14">
        <f t="shared" ref="B5:B24" si="4">B4+1</f>
        <v>2</v>
      </c>
      <c r="C5" s="15">
        <v>44101.0</v>
      </c>
      <c r="D5" s="14">
        <f t="shared" si="1"/>
        <v>2020</v>
      </c>
      <c r="E5" s="14">
        <f t="shared" si="2"/>
        <v>9</v>
      </c>
      <c r="F5" s="15" t="s">
        <v>16</v>
      </c>
      <c r="G5" s="16">
        <v>2.0</v>
      </c>
      <c r="H5" s="16" t="s">
        <v>14</v>
      </c>
      <c r="I5" s="16" t="s">
        <v>15</v>
      </c>
      <c r="J5" s="14">
        <v>5.0</v>
      </c>
      <c r="K5" s="14">
        <v>147.0</v>
      </c>
      <c r="L5" s="14">
        <v>350.0</v>
      </c>
      <c r="M5" s="14">
        <f t="shared" si="3"/>
        <v>203</v>
      </c>
      <c r="N5" s="1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3"/>
      <c r="B6" s="14">
        <f t="shared" si="4"/>
        <v>3</v>
      </c>
      <c r="C6" s="15">
        <v>44102.0</v>
      </c>
      <c r="D6" s="14">
        <f t="shared" si="1"/>
        <v>2020</v>
      </c>
      <c r="E6" s="14">
        <f t="shared" si="2"/>
        <v>9</v>
      </c>
      <c r="F6" s="15" t="s">
        <v>17</v>
      </c>
      <c r="G6" s="16"/>
      <c r="H6" s="16" t="s">
        <v>18</v>
      </c>
      <c r="I6" s="16" t="s">
        <v>19</v>
      </c>
      <c r="J6" s="14">
        <v>1.0</v>
      </c>
      <c r="K6" s="14">
        <v>409.0</v>
      </c>
      <c r="L6" s="14">
        <v>1000.0</v>
      </c>
      <c r="M6" s="14">
        <f t="shared" si="3"/>
        <v>591</v>
      </c>
      <c r="N6" s="1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3"/>
      <c r="B7" s="14">
        <f t="shared" si="4"/>
        <v>4</v>
      </c>
      <c r="C7" s="15">
        <v>44102.0</v>
      </c>
      <c r="D7" s="14">
        <f t="shared" si="1"/>
        <v>2020</v>
      </c>
      <c r="E7" s="14">
        <f t="shared" si="2"/>
        <v>9</v>
      </c>
      <c r="F7" s="15" t="s">
        <v>20</v>
      </c>
      <c r="G7" s="16"/>
      <c r="H7" s="16" t="s">
        <v>21</v>
      </c>
      <c r="I7" s="17" t="s">
        <v>22</v>
      </c>
      <c r="J7" s="14">
        <v>1.0</v>
      </c>
      <c r="K7" s="14"/>
      <c r="L7" s="14">
        <v>1200.0</v>
      </c>
      <c r="M7" s="14">
        <f t="shared" si="3"/>
        <v>1200</v>
      </c>
      <c r="N7" s="1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3"/>
      <c r="B8" s="14">
        <f t="shared" si="4"/>
        <v>5</v>
      </c>
      <c r="C8" s="15">
        <v>44103.0</v>
      </c>
      <c r="D8" s="14">
        <f t="shared" si="1"/>
        <v>2020</v>
      </c>
      <c r="E8" s="14">
        <f t="shared" si="2"/>
        <v>9</v>
      </c>
      <c r="F8" s="15" t="s">
        <v>17</v>
      </c>
      <c r="G8" s="16"/>
      <c r="H8" s="16" t="s">
        <v>18</v>
      </c>
      <c r="I8" s="16" t="s">
        <v>19</v>
      </c>
      <c r="J8" s="14">
        <v>2.0</v>
      </c>
      <c r="K8" s="14">
        <v>818.0</v>
      </c>
      <c r="L8" s="14">
        <v>2200.0</v>
      </c>
      <c r="M8" s="14">
        <f t="shared" si="3"/>
        <v>1382</v>
      </c>
      <c r="N8" s="1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3"/>
      <c r="B9" s="14">
        <f t="shared" si="4"/>
        <v>6</v>
      </c>
      <c r="C9" s="15">
        <v>44104.0</v>
      </c>
      <c r="D9" s="14">
        <f t="shared" si="1"/>
        <v>2020</v>
      </c>
      <c r="E9" s="14">
        <f t="shared" si="2"/>
        <v>9</v>
      </c>
      <c r="F9" s="15" t="s">
        <v>23</v>
      </c>
      <c r="G9" s="16"/>
      <c r="H9" s="16" t="s">
        <v>14</v>
      </c>
      <c r="I9" s="16" t="s">
        <v>24</v>
      </c>
      <c r="J9" s="14">
        <v>10.0</v>
      </c>
      <c r="K9" s="14">
        <v>294.0</v>
      </c>
      <c r="L9" s="14">
        <v>600.0</v>
      </c>
      <c r="M9" s="14">
        <f t="shared" si="3"/>
        <v>306</v>
      </c>
      <c r="N9" s="1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3"/>
      <c r="B10" s="14">
        <f t="shared" si="4"/>
        <v>7</v>
      </c>
      <c r="C10" s="15">
        <v>44107.0</v>
      </c>
      <c r="D10" s="14">
        <f t="shared" si="1"/>
        <v>2020</v>
      </c>
      <c r="E10" s="14">
        <f t="shared" si="2"/>
        <v>10</v>
      </c>
      <c r="F10" s="15" t="s">
        <v>25</v>
      </c>
      <c r="G10" s="16"/>
      <c r="H10" s="16" t="s">
        <v>26</v>
      </c>
      <c r="I10" s="16" t="s">
        <v>27</v>
      </c>
      <c r="J10" s="14">
        <v>1.0</v>
      </c>
      <c r="K10" s="14">
        <v>450.0</v>
      </c>
      <c r="L10" s="14">
        <v>1100.0</v>
      </c>
      <c r="M10" s="14">
        <f t="shared" si="3"/>
        <v>650</v>
      </c>
      <c r="N10" s="1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3"/>
      <c r="B11" s="14">
        <f t="shared" si="4"/>
        <v>8</v>
      </c>
      <c r="C11" s="15">
        <v>44107.0</v>
      </c>
      <c r="D11" s="14">
        <f t="shared" si="1"/>
        <v>2020</v>
      </c>
      <c r="E11" s="14">
        <f t="shared" si="2"/>
        <v>10</v>
      </c>
      <c r="F11" s="15" t="s">
        <v>28</v>
      </c>
      <c r="G11" s="16"/>
      <c r="H11" s="16" t="s">
        <v>29</v>
      </c>
      <c r="I11" s="16" t="s">
        <v>30</v>
      </c>
      <c r="J11" s="14">
        <v>1.0</v>
      </c>
      <c r="K11" s="14">
        <v>300.0</v>
      </c>
      <c r="L11" s="14">
        <v>850.0</v>
      </c>
      <c r="M11" s="14">
        <f t="shared" si="3"/>
        <v>550</v>
      </c>
      <c r="N11" s="1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3"/>
      <c r="B12" s="14">
        <f t="shared" si="4"/>
        <v>9</v>
      </c>
      <c r="C12" s="15">
        <v>44107.0</v>
      </c>
      <c r="D12" s="14">
        <f t="shared" si="1"/>
        <v>2020</v>
      </c>
      <c r="E12" s="14">
        <f t="shared" si="2"/>
        <v>10</v>
      </c>
      <c r="F12" s="15" t="s">
        <v>28</v>
      </c>
      <c r="G12" s="16"/>
      <c r="H12" s="16" t="s">
        <v>31</v>
      </c>
      <c r="I12" s="16" t="s">
        <v>32</v>
      </c>
      <c r="J12" s="14">
        <v>1.0</v>
      </c>
      <c r="K12" s="14">
        <v>288.0</v>
      </c>
      <c r="L12" s="14">
        <v>950.0</v>
      </c>
      <c r="M12" s="14">
        <f t="shared" si="3"/>
        <v>662</v>
      </c>
      <c r="N12" s="16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3"/>
      <c r="B13" s="14">
        <f t="shared" si="4"/>
        <v>10</v>
      </c>
      <c r="C13" s="15">
        <v>44107.0</v>
      </c>
      <c r="D13" s="14">
        <f t="shared" si="1"/>
        <v>2020</v>
      </c>
      <c r="E13" s="14">
        <f t="shared" si="2"/>
        <v>10</v>
      </c>
      <c r="F13" s="15" t="s">
        <v>33</v>
      </c>
      <c r="G13" s="16"/>
      <c r="H13" s="16" t="s">
        <v>34</v>
      </c>
      <c r="I13" s="16" t="s">
        <v>35</v>
      </c>
      <c r="J13" s="14">
        <v>1.0</v>
      </c>
      <c r="K13" s="14">
        <v>109.0</v>
      </c>
      <c r="L13" s="14">
        <v>0.0</v>
      </c>
      <c r="M13" s="14">
        <f t="shared" si="3"/>
        <v>-109</v>
      </c>
      <c r="N13" s="16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3"/>
      <c r="B14" s="14">
        <f t="shared" si="4"/>
        <v>11</v>
      </c>
      <c r="C14" s="15">
        <v>44107.0</v>
      </c>
      <c r="D14" s="14">
        <f t="shared" si="1"/>
        <v>2020</v>
      </c>
      <c r="E14" s="14">
        <f t="shared" si="2"/>
        <v>10</v>
      </c>
      <c r="F14" s="15" t="s">
        <v>36</v>
      </c>
      <c r="G14" s="16"/>
      <c r="H14" s="16" t="s">
        <v>34</v>
      </c>
      <c r="I14" s="18">
        <v>0.5</v>
      </c>
      <c r="J14" s="14">
        <v>1.0</v>
      </c>
      <c r="K14" s="14">
        <v>218.0</v>
      </c>
      <c r="L14" s="14">
        <v>360.0</v>
      </c>
      <c r="M14" s="14">
        <f t="shared" si="3"/>
        <v>142</v>
      </c>
      <c r="N14" s="16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3"/>
      <c r="B15" s="14">
        <f t="shared" si="4"/>
        <v>12</v>
      </c>
      <c r="C15" s="15">
        <v>44107.0</v>
      </c>
      <c r="D15" s="14">
        <f t="shared" si="1"/>
        <v>2020</v>
      </c>
      <c r="E15" s="14">
        <f t="shared" si="2"/>
        <v>10</v>
      </c>
      <c r="F15" s="15" t="s">
        <v>37</v>
      </c>
      <c r="G15" s="16"/>
      <c r="H15" s="16" t="s">
        <v>38</v>
      </c>
      <c r="I15" s="17" t="s">
        <v>39</v>
      </c>
      <c r="J15" s="14">
        <v>2.0</v>
      </c>
      <c r="K15" s="14">
        <v>72.0</v>
      </c>
      <c r="L15" s="14">
        <v>160.0</v>
      </c>
      <c r="M15" s="14">
        <f t="shared" si="3"/>
        <v>88</v>
      </c>
      <c r="N15" s="16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3"/>
      <c r="B16" s="14">
        <f t="shared" si="4"/>
        <v>13</v>
      </c>
      <c r="C16" s="15">
        <v>44107.0</v>
      </c>
      <c r="D16" s="14">
        <f t="shared" si="1"/>
        <v>2020</v>
      </c>
      <c r="E16" s="14">
        <f t="shared" si="2"/>
        <v>10</v>
      </c>
      <c r="F16" s="15" t="s">
        <v>37</v>
      </c>
      <c r="G16" s="16"/>
      <c r="H16" s="16" t="s">
        <v>34</v>
      </c>
      <c r="I16" s="18">
        <v>0.25</v>
      </c>
      <c r="J16" s="14">
        <v>1.0</v>
      </c>
      <c r="K16" s="14">
        <v>109.0</v>
      </c>
      <c r="L16" s="14">
        <v>180.0</v>
      </c>
      <c r="M16" s="14">
        <f t="shared" si="3"/>
        <v>71</v>
      </c>
      <c r="N16" s="16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3"/>
      <c r="B17" s="14">
        <f t="shared" si="4"/>
        <v>14</v>
      </c>
      <c r="C17" s="15">
        <v>44107.0</v>
      </c>
      <c r="D17" s="14">
        <f t="shared" si="1"/>
        <v>2020</v>
      </c>
      <c r="E17" s="14">
        <f t="shared" si="2"/>
        <v>10</v>
      </c>
      <c r="F17" s="15" t="s">
        <v>40</v>
      </c>
      <c r="G17" s="16"/>
      <c r="H17" s="16" t="s">
        <v>34</v>
      </c>
      <c r="I17" s="18">
        <v>0.25</v>
      </c>
      <c r="J17" s="14">
        <v>1.0</v>
      </c>
      <c r="K17" s="14">
        <v>109.0</v>
      </c>
      <c r="L17" s="14">
        <v>180.0</v>
      </c>
      <c r="M17" s="14">
        <f t="shared" si="3"/>
        <v>71</v>
      </c>
      <c r="N17" s="16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3"/>
      <c r="B18" s="14">
        <f t="shared" si="4"/>
        <v>15</v>
      </c>
      <c r="C18" s="15">
        <v>44108.0</v>
      </c>
      <c r="D18" s="14">
        <f t="shared" si="1"/>
        <v>2020</v>
      </c>
      <c r="E18" s="14">
        <f t="shared" si="2"/>
        <v>10</v>
      </c>
      <c r="F18" s="15" t="s">
        <v>42</v>
      </c>
      <c r="G18" s="16"/>
      <c r="H18" s="16" t="s">
        <v>14</v>
      </c>
      <c r="I18" s="18" t="s">
        <v>43</v>
      </c>
      <c r="J18" s="14">
        <v>5.0</v>
      </c>
      <c r="K18" s="14">
        <v>147.0</v>
      </c>
      <c r="L18" s="14">
        <v>150.0</v>
      </c>
      <c r="M18" s="14">
        <f t="shared" si="3"/>
        <v>3</v>
      </c>
      <c r="N18" s="16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3"/>
      <c r="B19" s="14">
        <f t="shared" si="4"/>
        <v>16</v>
      </c>
      <c r="C19" s="15">
        <v>44108.0</v>
      </c>
      <c r="D19" s="14">
        <f t="shared" si="1"/>
        <v>2020</v>
      </c>
      <c r="E19" s="14">
        <f t="shared" si="2"/>
        <v>10</v>
      </c>
      <c r="F19" s="15" t="s">
        <v>44</v>
      </c>
      <c r="G19" s="16"/>
      <c r="H19" s="15" t="s">
        <v>45</v>
      </c>
      <c r="I19" s="16" t="s">
        <v>46</v>
      </c>
      <c r="J19" s="17">
        <v>1.0</v>
      </c>
      <c r="K19" s="14">
        <v>365.0</v>
      </c>
      <c r="L19" s="14">
        <v>850.0</v>
      </c>
      <c r="M19" s="14">
        <f t="shared" si="3"/>
        <v>485</v>
      </c>
      <c r="N19" s="1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3"/>
      <c r="B20" s="14">
        <f t="shared" si="4"/>
        <v>17</v>
      </c>
      <c r="C20" s="15">
        <v>44108.0</v>
      </c>
      <c r="D20" s="14">
        <f t="shared" si="1"/>
        <v>2020</v>
      </c>
      <c r="E20" s="14">
        <f t="shared" si="2"/>
        <v>10</v>
      </c>
      <c r="F20" s="15" t="s">
        <v>44</v>
      </c>
      <c r="G20" s="16"/>
      <c r="H20" s="16" t="s">
        <v>47</v>
      </c>
      <c r="I20" s="16" t="s">
        <v>48</v>
      </c>
      <c r="J20" s="14">
        <v>1.0</v>
      </c>
      <c r="K20" s="14">
        <v>365.0</v>
      </c>
      <c r="L20" s="14">
        <v>850.0</v>
      </c>
      <c r="M20" s="14">
        <f t="shared" si="3"/>
        <v>485</v>
      </c>
      <c r="N20" s="1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13"/>
      <c r="B21" s="14">
        <f t="shared" si="4"/>
        <v>18</v>
      </c>
      <c r="C21" s="15">
        <v>44108.0</v>
      </c>
      <c r="D21" s="14">
        <f t="shared" si="1"/>
        <v>2020</v>
      </c>
      <c r="E21" s="14">
        <f t="shared" si="2"/>
        <v>10</v>
      </c>
      <c r="F21" s="15" t="s">
        <v>49</v>
      </c>
      <c r="G21" s="16"/>
      <c r="H21" s="16" t="s">
        <v>50</v>
      </c>
      <c r="I21" s="16" t="s">
        <v>51</v>
      </c>
      <c r="J21" s="14" t="s">
        <v>52</v>
      </c>
      <c r="K21" s="14">
        <v>594.0</v>
      </c>
      <c r="L21" s="14">
        <v>1200.0</v>
      </c>
      <c r="M21" s="14">
        <f t="shared" si="3"/>
        <v>606</v>
      </c>
      <c r="N21" s="1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13"/>
      <c r="B22" s="14">
        <f t="shared" si="4"/>
        <v>19</v>
      </c>
      <c r="C22" s="15">
        <v>44109.0</v>
      </c>
      <c r="D22" s="14">
        <f t="shared" si="1"/>
        <v>2020</v>
      </c>
      <c r="E22" s="14">
        <f t="shared" si="2"/>
        <v>10</v>
      </c>
      <c r="F22" s="15" t="s">
        <v>53</v>
      </c>
      <c r="G22" s="16"/>
      <c r="H22" s="16" t="s">
        <v>54</v>
      </c>
      <c r="I22" s="16" t="s">
        <v>55</v>
      </c>
      <c r="J22" s="14">
        <v>1.0</v>
      </c>
      <c r="K22" s="14"/>
      <c r="L22" s="14">
        <v>3400.0</v>
      </c>
      <c r="M22" s="14">
        <f t="shared" si="3"/>
        <v>3400</v>
      </c>
      <c r="N22" s="1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13"/>
      <c r="B23" s="14">
        <f t="shared" si="4"/>
        <v>20</v>
      </c>
      <c r="C23" s="15">
        <v>44111.0</v>
      </c>
      <c r="D23" s="14">
        <f t="shared" si="1"/>
        <v>2020</v>
      </c>
      <c r="E23" s="14">
        <f t="shared" si="2"/>
        <v>10</v>
      </c>
      <c r="F23" s="15" t="s">
        <v>56</v>
      </c>
      <c r="G23" s="16"/>
      <c r="H23" s="16" t="s">
        <v>57</v>
      </c>
      <c r="I23" s="16" t="s">
        <v>58</v>
      </c>
      <c r="J23" s="14" t="s">
        <v>59</v>
      </c>
      <c r="K23" s="14">
        <v>1069.0</v>
      </c>
      <c r="L23" s="14">
        <v>2350.0</v>
      </c>
      <c r="M23" s="14">
        <f t="shared" si="3"/>
        <v>1281</v>
      </c>
      <c r="N23" s="1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13"/>
      <c r="B24" s="14">
        <f t="shared" si="4"/>
        <v>21</v>
      </c>
      <c r="C24" s="15">
        <v>44113.0</v>
      </c>
      <c r="D24" s="14">
        <f t="shared" si="1"/>
        <v>2020</v>
      </c>
      <c r="E24" s="14">
        <f t="shared" si="2"/>
        <v>10</v>
      </c>
      <c r="F24" s="15" t="s">
        <v>60</v>
      </c>
      <c r="G24" s="16"/>
      <c r="H24" s="16" t="s">
        <v>61</v>
      </c>
      <c r="I24" s="16" t="s">
        <v>62</v>
      </c>
      <c r="J24" s="14">
        <v>1.0</v>
      </c>
      <c r="K24" s="14">
        <v>322.0</v>
      </c>
      <c r="L24" s="14">
        <v>1200.0</v>
      </c>
      <c r="M24" s="14">
        <f t="shared" si="3"/>
        <v>878</v>
      </c>
      <c r="N24" s="1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13"/>
      <c r="B25" s="14">
        <v>22.0</v>
      </c>
      <c r="C25" s="15">
        <v>44121.0</v>
      </c>
      <c r="D25" s="14">
        <f t="shared" si="1"/>
        <v>2020</v>
      </c>
      <c r="E25" s="14">
        <f t="shared" si="2"/>
        <v>10</v>
      </c>
      <c r="F25" s="15" t="s">
        <v>63</v>
      </c>
      <c r="G25" s="16"/>
      <c r="H25" s="16" t="s">
        <v>64</v>
      </c>
      <c r="I25" s="16" t="s">
        <v>65</v>
      </c>
      <c r="J25" s="14">
        <v>2.0</v>
      </c>
      <c r="K25" s="14">
        <v>705.0</v>
      </c>
      <c r="L25" s="14">
        <v>1630.0</v>
      </c>
      <c r="M25" s="14">
        <f t="shared" si="3"/>
        <v>925</v>
      </c>
      <c r="N25" s="16" t="s">
        <v>66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13"/>
      <c r="B26" s="14">
        <v>23.0</v>
      </c>
      <c r="C26" s="15">
        <v>44122.0</v>
      </c>
      <c r="D26" s="14">
        <f t="shared" si="1"/>
        <v>2020</v>
      </c>
      <c r="E26" s="14">
        <f t="shared" si="2"/>
        <v>10</v>
      </c>
      <c r="F26" s="15" t="s">
        <v>60</v>
      </c>
      <c r="G26" s="16"/>
      <c r="H26" s="16" t="s">
        <v>61</v>
      </c>
      <c r="I26" s="16" t="s">
        <v>67</v>
      </c>
      <c r="J26" s="14">
        <v>1.0</v>
      </c>
      <c r="K26" s="14">
        <v>322.0</v>
      </c>
      <c r="L26" s="14">
        <v>1200.0</v>
      </c>
      <c r="M26" s="14">
        <f t="shared" si="3"/>
        <v>878</v>
      </c>
      <c r="N26" s="16" t="s">
        <v>41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13"/>
      <c r="B27" s="14">
        <f t="shared" ref="B27:B41" si="5">B26+1</f>
        <v>24</v>
      </c>
      <c r="C27" s="15">
        <v>44122.0</v>
      </c>
      <c r="D27" s="14">
        <f t="shared" si="1"/>
        <v>2020</v>
      </c>
      <c r="E27" s="14">
        <f t="shared" si="2"/>
        <v>10</v>
      </c>
      <c r="F27" s="16" t="s">
        <v>68</v>
      </c>
      <c r="G27" s="16"/>
      <c r="H27" s="16" t="s">
        <v>69</v>
      </c>
      <c r="I27" s="16" t="s">
        <v>70</v>
      </c>
      <c r="J27" s="14">
        <v>1.0</v>
      </c>
      <c r="K27" s="14">
        <v>787.0</v>
      </c>
      <c r="L27" s="14">
        <v>1400.0</v>
      </c>
      <c r="M27" s="14">
        <f t="shared" si="3"/>
        <v>613</v>
      </c>
      <c r="N27" s="16" t="s">
        <v>71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13"/>
      <c r="B28" s="14">
        <f t="shared" si="5"/>
        <v>25</v>
      </c>
      <c r="C28" s="15">
        <v>44122.0</v>
      </c>
      <c r="D28" s="14">
        <f t="shared" si="1"/>
        <v>2020</v>
      </c>
      <c r="E28" s="14">
        <f t="shared" si="2"/>
        <v>10</v>
      </c>
      <c r="F28" s="15" t="s">
        <v>72</v>
      </c>
      <c r="G28" s="16"/>
      <c r="H28" s="16" t="s">
        <v>69</v>
      </c>
      <c r="I28" s="16" t="s">
        <v>73</v>
      </c>
      <c r="J28" s="14">
        <v>1.0</v>
      </c>
      <c r="K28" s="14">
        <v>900.0</v>
      </c>
      <c r="L28" s="14">
        <v>1350.0</v>
      </c>
      <c r="M28" s="14">
        <f t="shared" si="3"/>
        <v>450</v>
      </c>
      <c r="N28" s="16" t="s">
        <v>74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13"/>
      <c r="B29" s="14">
        <f t="shared" si="5"/>
        <v>26</v>
      </c>
      <c r="C29" s="15">
        <v>44122.0</v>
      </c>
      <c r="D29" s="14">
        <f t="shared" si="1"/>
        <v>2020</v>
      </c>
      <c r="E29" s="14">
        <f t="shared" si="2"/>
        <v>10</v>
      </c>
      <c r="F29" s="15" t="s">
        <v>75</v>
      </c>
      <c r="G29" s="16"/>
      <c r="H29" s="16" t="s">
        <v>69</v>
      </c>
      <c r="I29" s="16" t="s">
        <v>76</v>
      </c>
      <c r="J29" s="14">
        <v>1.0</v>
      </c>
      <c r="K29" s="14">
        <v>787.0</v>
      </c>
      <c r="L29" s="14">
        <v>1000.0</v>
      </c>
      <c r="M29" s="14">
        <f t="shared" si="3"/>
        <v>213</v>
      </c>
      <c r="N29" s="1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13"/>
      <c r="B30" s="14">
        <f t="shared" si="5"/>
        <v>27</v>
      </c>
      <c r="C30" s="15">
        <v>44122.0</v>
      </c>
      <c r="D30" s="14">
        <f t="shared" si="1"/>
        <v>2020</v>
      </c>
      <c r="E30" s="14">
        <f t="shared" si="2"/>
        <v>10</v>
      </c>
      <c r="F30" s="15" t="s">
        <v>77</v>
      </c>
      <c r="G30" s="16"/>
      <c r="H30" s="16" t="s">
        <v>69</v>
      </c>
      <c r="I30" s="16" t="s">
        <v>70</v>
      </c>
      <c r="J30" s="14">
        <v>2.0</v>
      </c>
      <c r="K30" s="14">
        <v>787.0</v>
      </c>
      <c r="L30" s="14">
        <v>1600.0</v>
      </c>
      <c r="M30" s="14">
        <f t="shared" si="3"/>
        <v>813</v>
      </c>
      <c r="N30" s="1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13"/>
      <c r="B31" s="14">
        <f t="shared" si="5"/>
        <v>28</v>
      </c>
      <c r="C31" s="15">
        <v>44122.0</v>
      </c>
      <c r="D31" s="14">
        <f t="shared" si="1"/>
        <v>2020</v>
      </c>
      <c r="E31" s="14">
        <f t="shared" si="2"/>
        <v>10</v>
      </c>
      <c r="F31" s="15" t="s">
        <v>78</v>
      </c>
      <c r="G31" s="16"/>
      <c r="H31" s="16" t="s">
        <v>69</v>
      </c>
      <c r="I31" s="16" t="s">
        <v>76</v>
      </c>
      <c r="J31" s="14">
        <v>1.0</v>
      </c>
      <c r="K31" s="14">
        <v>787.0</v>
      </c>
      <c r="L31" s="14">
        <v>1600.0</v>
      </c>
      <c r="M31" s="14">
        <f t="shared" si="3"/>
        <v>813</v>
      </c>
      <c r="N31" s="16" t="s">
        <v>79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13"/>
      <c r="B32" s="14">
        <f t="shared" si="5"/>
        <v>29</v>
      </c>
      <c r="C32" s="15">
        <v>44122.0</v>
      </c>
      <c r="D32" s="14">
        <f t="shared" si="1"/>
        <v>2020</v>
      </c>
      <c r="E32" s="14">
        <f t="shared" si="2"/>
        <v>10</v>
      </c>
      <c r="F32" s="15" t="s">
        <v>80</v>
      </c>
      <c r="G32" s="16"/>
      <c r="H32" s="16" t="s">
        <v>69</v>
      </c>
      <c r="I32" s="16" t="s">
        <v>70</v>
      </c>
      <c r="J32" s="14">
        <v>1.0</v>
      </c>
      <c r="K32" s="14">
        <v>787.0</v>
      </c>
      <c r="L32" s="14">
        <v>1200.0</v>
      </c>
      <c r="M32" s="14">
        <f t="shared" si="3"/>
        <v>413</v>
      </c>
      <c r="N32" s="16" t="s">
        <v>71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13"/>
      <c r="B33" s="14">
        <f t="shared" si="5"/>
        <v>30</v>
      </c>
      <c r="C33" s="15">
        <v>44122.0</v>
      </c>
      <c r="D33" s="14">
        <f t="shared" si="1"/>
        <v>2020</v>
      </c>
      <c r="E33" s="14">
        <f t="shared" si="2"/>
        <v>10</v>
      </c>
      <c r="F33" s="15" t="s">
        <v>81</v>
      </c>
      <c r="G33" s="16"/>
      <c r="H33" s="16" t="s">
        <v>69</v>
      </c>
      <c r="I33" s="16" t="s">
        <v>70</v>
      </c>
      <c r="J33" s="14">
        <v>1.0</v>
      </c>
      <c r="K33" s="14">
        <v>787.0</v>
      </c>
      <c r="L33" s="14">
        <v>1200.0</v>
      </c>
      <c r="M33" s="14">
        <f t="shared" si="3"/>
        <v>413</v>
      </c>
      <c r="N33" s="16" t="s">
        <v>74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13"/>
      <c r="B34" s="14">
        <f t="shared" si="5"/>
        <v>31</v>
      </c>
      <c r="C34" s="15">
        <v>44122.0</v>
      </c>
      <c r="D34" s="14">
        <f t="shared" si="1"/>
        <v>2020</v>
      </c>
      <c r="E34" s="14">
        <f t="shared" si="2"/>
        <v>10</v>
      </c>
      <c r="F34" s="15" t="s">
        <v>82</v>
      </c>
      <c r="G34" s="16"/>
      <c r="H34" s="16" t="s">
        <v>69</v>
      </c>
      <c r="I34" s="16" t="s">
        <v>76</v>
      </c>
      <c r="J34" s="14">
        <v>1.0</v>
      </c>
      <c r="K34" s="14">
        <v>787.0</v>
      </c>
      <c r="L34" s="14">
        <v>1600.0</v>
      </c>
      <c r="M34" s="14">
        <f t="shared" si="3"/>
        <v>813</v>
      </c>
      <c r="N34" s="16" t="s">
        <v>74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13"/>
      <c r="B35" s="14">
        <f t="shared" si="5"/>
        <v>32</v>
      </c>
      <c r="C35" s="15">
        <v>44122.0</v>
      </c>
      <c r="D35" s="14">
        <f t="shared" si="1"/>
        <v>2020</v>
      </c>
      <c r="E35" s="14">
        <f t="shared" si="2"/>
        <v>10</v>
      </c>
      <c r="F35" s="15" t="s">
        <v>83</v>
      </c>
      <c r="G35" s="16"/>
      <c r="H35" s="16" t="s">
        <v>69</v>
      </c>
      <c r="I35" s="16" t="s">
        <v>76</v>
      </c>
      <c r="J35" s="14">
        <v>1.0</v>
      </c>
      <c r="K35" s="14">
        <v>787.0</v>
      </c>
      <c r="L35" s="14">
        <v>1600.0</v>
      </c>
      <c r="M35" s="14">
        <f t="shared" si="3"/>
        <v>813</v>
      </c>
      <c r="N35" s="1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13"/>
      <c r="B36" s="14">
        <f t="shared" si="5"/>
        <v>33</v>
      </c>
      <c r="C36" s="15">
        <v>44122.0</v>
      </c>
      <c r="D36" s="14">
        <f t="shared" si="1"/>
        <v>2020</v>
      </c>
      <c r="E36" s="14">
        <f t="shared" si="2"/>
        <v>10</v>
      </c>
      <c r="F36" s="15" t="s">
        <v>44</v>
      </c>
      <c r="G36" s="16"/>
      <c r="H36" s="16" t="s">
        <v>69</v>
      </c>
      <c r="I36" s="16" t="s">
        <v>76</v>
      </c>
      <c r="J36" s="14">
        <v>1.0</v>
      </c>
      <c r="K36" s="14">
        <v>787.0</v>
      </c>
      <c r="L36" s="14">
        <v>1600.0</v>
      </c>
      <c r="M36" s="14">
        <f t="shared" si="3"/>
        <v>813</v>
      </c>
      <c r="N36" s="16" t="s">
        <v>41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13"/>
      <c r="B37" s="14">
        <f t="shared" si="5"/>
        <v>34</v>
      </c>
      <c r="C37" s="15">
        <v>44122.0</v>
      </c>
      <c r="D37" s="14">
        <f t="shared" si="1"/>
        <v>2020</v>
      </c>
      <c r="E37" s="14">
        <f t="shared" si="2"/>
        <v>10</v>
      </c>
      <c r="F37" s="15" t="s">
        <v>84</v>
      </c>
      <c r="G37" s="16"/>
      <c r="H37" s="16" t="s">
        <v>69</v>
      </c>
      <c r="I37" s="16" t="s">
        <v>70</v>
      </c>
      <c r="J37" s="14">
        <v>1.0</v>
      </c>
      <c r="K37" s="14">
        <v>787.0</v>
      </c>
      <c r="L37" s="14">
        <v>1200.0</v>
      </c>
      <c r="M37" s="14">
        <f t="shared" si="3"/>
        <v>413</v>
      </c>
      <c r="N37" s="16" t="s">
        <v>71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13"/>
      <c r="B38" s="14">
        <f t="shared" si="5"/>
        <v>35</v>
      </c>
      <c r="C38" s="15">
        <v>44122.0</v>
      </c>
      <c r="D38" s="14">
        <f t="shared" si="1"/>
        <v>2020</v>
      </c>
      <c r="E38" s="14">
        <f t="shared" si="2"/>
        <v>10</v>
      </c>
      <c r="F38" s="15" t="s">
        <v>85</v>
      </c>
      <c r="G38" s="16"/>
      <c r="H38" s="16" t="s">
        <v>69</v>
      </c>
      <c r="I38" s="16" t="s">
        <v>76</v>
      </c>
      <c r="J38" s="14">
        <v>1.0</v>
      </c>
      <c r="K38" s="14">
        <v>787.0</v>
      </c>
      <c r="L38" s="14">
        <v>1700.0</v>
      </c>
      <c r="M38" s="14">
        <f t="shared" si="3"/>
        <v>913</v>
      </c>
      <c r="N38" s="16" t="s">
        <v>71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14"/>
      <c r="B39" s="14">
        <f t="shared" si="5"/>
        <v>36</v>
      </c>
      <c r="C39" s="15">
        <v>44124.0</v>
      </c>
      <c r="D39" s="14">
        <f t="shared" si="1"/>
        <v>2020</v>
      </c>
      <c r="E39" s="14">
        <f t="shared" si="2"/>
        <v>10</v>
      </c>
      <c r="F39" s="15" t="s">
        <v>86</v>
      </c>
      <c r="G39" s="16"/>
      <c r="H39" s="16" t="s">
        <v>87</v>
      </c>
      <c r="I39" s="16" t="s">
        <v>88</v>
      </c>
      <c r="J39" s="14">
        <v>1.0</v>
      </c>
      <c r="K39" s="14">
        <v>787.0</v>
      </c>
      <c r="L39" s="14">
        <v>1100.0</v>
      </c>
      <c r="M39" s="14">
        <f t="shared" si="3"/>
        <v>313</v>
      </c>
      <c r="N39" s="16" t="s">
        <v>41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13"/>
      <c r="B40" s="14">
        <f t="shared" si="5"/>
        <v>37</v>
      </c>
      <c r="C40" s="15">
        <v>44125.0</v>
      </c>
      <c r="D40" s="14">
        <f t="shared" si="1"/>
        <v>2020</v>
      </c>
      <c r="E40" s="14">
        <f t="shared" si="2"/>
        <v>10</v>
      </c>
      <c r="F40" s="15" t="s">
        <v>86</v>
      </c>
      <c r="G40" s="16"/>
      <c r="H40" s="16" t="s">
        <v>87</v>
      </c>
      <c r="I40" s="16" t="s">
        <v>89</v>
      </c>
      <c r="J40" s="14">
        <v>1.0</v>
      </c>
      <c r="K40" s="14">
        <v>500.0</v>
      </c>
      <c r="L40" s="14">
        <v>1200.0</v>
      </c>
      <c r="M40" s="14">
        <f t="shared" si="3"/>
        <v>700</v>
      </c>
      <c r="N40" s="16" t="s">
        <v>41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13"/>
      <c r="B41" s="14">
        <f t="shared" si="5"/>
        <v>38</v>
      </c>
      <c r="C41" s="15">
        <v>44127.0</v>
      </c>
      <c r="D41" s="14">
        <f t="shared" si="1"/>
        <v>2020</v>
      </c>
      <c r="E41" s="14">
        <f t="shared" si="2"/>
        <v>10</v>
      </c>
      <c r="F41" s="15" t="s">
        <v>90</v>
      </c>
      <c r="G41" s="16"/>
      <c r="H41" s="16" t="s">
        <v>91</v>
      </c>
      <c r="I41" s="16" t="s">
        <v>92</v>
      </c>
      <c r="J41" s="14">
        <v>108.0</v>
      </c>
      <c r="K41" s="14">
        <f>329*108</f>
        <v>35532</v>
      </c>
      <c r="L41" s="14">
        <v>51840.0</v>
      </c>
      <c r="M41" s="14">
        <f t="shared" si="3"/>
        <v>16308</v>
      </c>
      <c r="N41" s="16" t="s">
        <v>93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13"/>
      <c r="B42" s="14">
        <v>39.0</v>
      </c>
      <c r="C42" s="15">
        <v>44135.0</v>
      </c>
      <c r="D42" s="14">
        <f t="shared" si="1"/>
        <v>2020</v>
      </c>
      <c r="E42" s="14">
        <f t="shared" si="2"/>
        <v>10</v>
      </c>
      <c r="F42" s="15" t="s">
        <v>94</v>
      </c>
      <c r="G42" s="16"/>
      <c r="H42" s="16" t="s">
        <v>95</v>
      </c>
      <c r="I42" s="16" t="s">
        <v>96</v>
      </c>
      <c r="J42" s="14">
        <v>1.0</v>
      </c>
      <c r="K42" s="14">
        <v>352.0</v>
      </c>
      <c r="L42" s="14">
        <v>1870.0</v>
      </c>
      <c r="M42" s="14">
        <f t="shared" si="3"/>
        <v>1518</v>
      </c>
      <c r="N42" s="16" t="s">
        <v>74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13"/>
      <c r="B43" s="14">
        <v>40.0</v>
      </c>
      <c r="C43" s="15">
        <v>44135.0</v>
      </c>
      <c r="D43" s="14">
        <f t="shared" si="1"/>
        <v>2020</v>
      </c>
      <c r="E43" s="14">
        <f t="shared" si="2"/>
        <v>10</v>
      </c>
      <c r="F43" s="15" t="s">
        <v>16</v>
      </c>
      <c r="G43" s="16"/>
      <c r="H43" s="16" t="s">
        <v>97</v>
      </c>
      <c r="I43" s="16" t="s">
        <v>70</v>
      </c>
      <c r="J43" s="14">
        <v>1.0</v>
      </c>
      <c r="K43" s="14">
        <v>352.0</v>
      </c>
      <c r="L43" s="14">
        <v>1200.0</v>
      </c>
      <c r="M43" s="14">
        <f t="shared" si="3"/>
        <v>848</v>
      </c>
      <c r="N43" s="1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13"/>
      <c r="B44" s="14">
        <v>41.0</v>
      </c>
      <c r="C44" s="15">
        <v>44135.0</v>
      </c>
      <c r="D44" s="14">
        <f t="shared" si="1"/>
        <v>2020</v>
      </c>
      <c r="E44" s="14">
        <f t="shared" si="2"/>
        <v>10</v>
      </c>
      <c r="F44" s="15" t="s">
        <v>28</v>
      </c>
      <c r="G44" s="16"/>
      <c r="H44" s="16" t="s">
        <v>97</v>
      </c>
      <c r="I44" s="16" t="s">
        <v>98</v>
      </c>
      <c r="J44" s="14"/>
      <c r="K44" s="14">
        <v>352.0</v>
      </c>
      <c r="L44" s="14">
        <v>1200.0</v>
      </c>
      <c r="M44" s="14">
        <f t="shared" si="3"/>
        <v>848</v>
      </c>
      <c r="N44" s="1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13"/>
      <c r="B45" s="14">
        <v>42.0</v>
      </c>
      <c r="C45" s="15">
        <v>44135.0</v>
      </c>
      <c r="D45" s="14">
        <f t="shared" si="1"/>
        <v>2020</v>
      </c>
      <c r="E45" s="14">
        <f t="shared" si="2"/>
        <v>10</v>
      </c>
      <c r="F45" s="15" t="s">
        <v>99</v>
      </c>
      <c r="G45" s="16"/>
      <c r="H45" s="16" t="s">
        <v>97</v>
      </c>
      <c r="I45" s="16" t="s">
        <v>76</v>
      </c>
      <c r="J45" s="14">
        <v>1.0</v>
      </c>
      <c r="K45" s="14">
        <v>352.0</v>
      </c>
      <c r="L45" s="14">
        <v>900.0</v>
      </c>
      <c r="M45" s="14">
        <f t="shared" si="3"/>
        <v>548</v>
      </c>
      <c r="N45" s="16" t="s">
        <v>74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13"/>
      <c r="B46" s="14">
        <v>43.0</v>
      </c>
      <c r="C46" s="15">
        <v>44136.0</v>
      </c>
      <c r="D46" s="14">
        <f t="shared" si="1"/>
        <v>2020</v>
      </c>
      <c r="E46" s="14">
        <f t="shared" si="2"/>
        <v>11</v>
      </c>
      <c r="F46" s="15" t="s">
        <v>100</v>
      </c>
      <c r="G46" s="16"/>
      <c r="H46" s="16" t="s">
        <v>101</v>
      </c>
      <c r="I46" s="16" t="s">
        <v>30</v>
      </c>
      <c r="J46" s="14">
        <v>1.0</v>
      </c>
      <c r="K46" s="14">
        <v>400.0</v>
      </c>
      <c r="L46" s="14">
        <v>1000.0</v>
      </c>
      <c r="M46" s="14">
        <f t="shared" si="3"/>
        <v>600</v>
      </c>
      <c r="N46" s="1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13"/>
      <c r="B47" s="14">
        <f t="shared" ref="B47:B48" si="6">B46+1</f>
        <v>44</v>
      </c>
      <c r="C47" s="15">
        <v>44149.0</v>
      </c>
      <c r="D47" s="14">
        <f t="shared" si="1"/>
        <v>2020</v>
      </c>
      <c r="E47" s="14">
        <f t="shared" si="2"/>
        <v>11</v>
      </c>
      <c r="F47" s="15" t="s">
        <v>102</v>
      </c>
      <c r="G47" s="16"/>
      <c r="H47" s="16" t="s">
        <v>103</v>
      </c>
      <c r="I47" s="16" t="s">
        <v>76</v>
      </c>
      <c r="J47" s="14">
        <v>1.0</v>
      </c>
      <c r="K47" s="14">
        <v>600.0</v>
      </c>
      <c r="L47" s="14">
        <v>1800.0</v>
      </c>
      <c r="M47" s="14">
        <f t="shared" si="3"/>
        <v>1200</v>
      </c>
      <c r="N47" s="16" t="s">
        <v>104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13"/>
      <c r="B48" s="14">
        <f t="shared" si="6"/>
        <v>45</v>
      </c>
      <c r="C48" s="15">
        <v>44149.0</v>
      </c>
      <c r="D48" s="14">
        <f t="shared" si="1"/>
        <v>2020</v>
      </c>
      <c r="E48" s="14">
        <f t="shared" si="2"/>
        <v>11</v>
      </c>
      <c r="F48" s="15" t="s">
        <v>105</v>
      </c>
      <c r="G48" s="16"/>
      <c r="H48" s="16" t="s">
        <v>106</v>
      </c>
      <c r="I48" s="16" t="s">
        <v>107</v>
      </c>
      <c r="J48" s="14">
        <v>1.0</v>
      </c>
      <c r="K48" s="14">
        <v>220.0</v>
      </c>
      <c r="L48" s="14">
        <v>450.0</v>
      </c>
      <c r="M48" s="14">
        <f t="shared" si="3"/>
        <v>230</v>
      </c>
      <c r="N48" s="16" t="s">
        <v>104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13"/>
      <c r="B49" s="14">
        <v>46.0</v>
      </c>
      <c r="C49" s="15">
        <v>44149.0</v>
      </c>
      <c r="D49" s="14">
        <f t="shared" si="1"/>
        <v>2020</v>
      </c>
      <c r="E49" s="14">
        <f t="shared" si="2"/>
        <v>11</v>
      </c>
      <c r="F49" s="15" t="s">
        <v>108</v>
      </c>
      <c r="G49" s="16"/>
      <c r="H49" s="16" t="s">
        <v>109</v>
      </c>
      <c r="I49" s="16"/>
      <c r="J49" s="14">
        <v>15.0</v>
      </c>
      <c r="K49" s="14">
        <v>455.0</v>
      </c>
      <c r="L49" s="14">
        <v>1000.0</v>
      </c>
      <c r="M49" s="14">
        <f t="shared" si="3"/>
        <v>545</v>
      </c>
      <c r="N49" s="16" t="s">
        <v>74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13"/>
      <c r="B50" s="14">
        <v>47.0</v>
      </c>
      <c r="C50" s="15">
        <v>44156.0</v>
      </c>
      <c r="D50" s="14">
        <f t="shared" si="1"/>
        <v>2020</v>
      </c>
      <c r="E50" s="14">
        <f t="shared" si="2"/>
        <v>11</v>
      </c>
      <c r="F50" s="16" t="s">
        <v>110</v>
      </c>
      <c r="G50" s="16">
        <v>24.0</v>
      </c>
      <c r="H50" s="16" t="s">
        <v>111</v>
      </c>
      <c r="I50" s="16"/>
      <c r="J50" s="14">
        <v>1.0</v>
      </c>
      <c r="K50" s="14">
        <v>456.0</v>
      </c>
      <c r="L50" s="14">
        <v>1500.0</v>
      </c>
      <c r="M50" s="14">
        <f t="shared" si="3"/>
        <v>1044</v>
      </c>
      <c r="N50" s="1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13"/>
      <c r="B51" s="14">
        <v>48.0</v>
      </c>
      <c r="C51" s="15">
        <v>44156.0</v>
      </c>
      <c r="D51" s="14">
        <f t="shared" si="1"/>
        <v>2020</v>
      </c>
      <c r="E51" s="14">
        <f t="shared" si="2"/>
        <v>11</v>
      </c>
      <c r="F51" s="16" t="s">
        <v>112</v>
      </c>
      <c r="G51" s="16">
        <v>33.0</v>
      </c>
      <c r="H51" s="16" t="s">
        <v>113</v>
      </c>
      <c r="I51" s="16"/>
      <c r="J51" s="14">
        <v>1.0</v>
      </c>
      <c r="K51" s="14">
        <v>84.0</v>
      </c>
      <c r="L51" s="14">
        <v>250.0</v>
      </c>
      <c r="M51" s="14">
        <f t="shared" si="3"/>
        <v>166</v>
      </c>
      <c r="N51" s="1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13"/>
      <c r="B52" s="14">
        <v>49.0</v>
      </c>
      <c r="C52" s="15" t="s">
        <v>114</v>
      </c>
      <c r="D52" s="14">
        <f t="shared" si="1"/>
        <v>2020</v>
      </c>
      <c r="E52" s="14">
        <f t="shared" si="2"/>
        <v>11</v>
      </c>
      <c r="F52" s="16" t="s">
        <v>112</v>
      </c>
      <c r="G52" s="16">
        <v>17.0</v>
      </c>
      <c r="H52" s="16" t="s">
        <v>115</v>
      </c>
      <c r="I52" s="16" t="s">
        <v>116</v>
      </c>
      <c r="J52" s="14">
        <v>1.0</v>
      </c>
      <c r="K52" s="14">
        <v>349.0</v>
      </c>
      <c r="L52" s="14">
        <v>800.0</v>
      </c>
      <c r="M52" s="14">
        <f t="shared" si="3"/>
        <v>451</v>
      </c>
      <c r="N52" s="1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13"/>
      <c r="B53" s="14">
        <f t="shared" ref="B53:B64" si="7">B52+1</f>
        <v>50</v>
      </c>
      <c r="C53" s="15">
        <v>44153.0</v>
      </c>
      <c r="D53" s="14">
        <f t="shared" si="1"/>
        <v>2020</v>
      </c>
      <c r="E53" s="14">
        <f t="shared" si="2"/>
        <v>11</v>
      </c>
      <c r="F53" s="16" t="s">
        <v>117</v>
      </c>
      <c r="G53" s="16">
        <v>34.0</v>
      </c>
      <c r="H53" s="16" t="s">
        <v>118</v>
      </c>
      <c r="I53" s="16"/>
      <c r="J53" s="14">
        <v>1.0</v>
      </c>
      <c r="K53" s="14">
        <v>129.0</v>
      </c>
      <c r="L53" s="14">
        <v>400.0</v>
      </c>
      <c r="M53" s="14">
        <f t="shared" si="3"/>
        <v>271</v>
      </c>
      <c r="N53" s="1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13"/>
      <c r="B54" s="14">
        <f t="shared" si="7"/>
        <v>51</v>
      </c>
      <c r="C54" s="15">
        <v>44153.0</v>
      </c>
      <c r="D54" s="14">
        <f t="shared" si="1"/>
        <v>2020</v>
      </c>
      <c r="E54" s="14">
        <f t="shared" si="2"/>
        <v>11</v>
      </c>
      <c r="F54" s="16" t="s">
        <v>119</v>
      </c>
      <c r="G54" s="16">
        <v>33.0</v>
      </c>
      <c r="H54" s="16" t="s">
        <v>120</v>
      </c>
      <c r="I54" s="16"/>
      <c r="J54" s="14">
        <v>1.0</v>
      </c>
      <c r="K54" s="14">
        <v>84.0</v>
      </c>
      <c r="L54" s="14">
        <v>250.0</v>
      </c>
      <c r="M54" s="14">
        <f t="shared" si="3"/>
        <v>166</v>
      </c>
      <c r="N54" s="1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13"/>
      <c r="B55" s="19">
        <f t="shared" si="7"/>
        <v>52</v>
      </c>
      <c r="C55" s="20" t="s">
        <v>121</v>
      </c>
      <c r="D55" s="19">
        <f t="shared" si="1"/>
        <v>2020</v>
      </c>
      <c r="E55" s="19">
        <f t="shared" si="2"/>
        <v>11</v>
      </c>
      <c r="F55" s="16" t="s">
        <v>122</v>
      </c>
      <c r="G55" s="16">
        <v>33.0</v>
      </c>
      <c r="H55" s="16" t="s">
        <v>123</v>
      </c>
      <c r="I55" s="16"/>
      <c r="J55" s="14">
        <v>1.0</v>
      </c>
      <c r="K55" s="14">
        <v>84.0</v>
      </c>
      <c r="L55" s="14">
        <v>250.0</v>
      </c>
      <c r="M55" s="14">
        <f t="shared" si="3"/>
        <v>166</v>
      </c>
      <c r="N55" s="1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13"/>
      <c r="B56" s="14">
        <f t="shared" si="7"/>
        <v>53</v>
      </c>
      <c r="C56" s="15" t="s">
        <v>114</v>
      </c>
      <c r="D56" s="14">
        <f t="shared" si="1"/>
        <v>2020</v>
      </c>
      <c r="E56" s="14">
        <f t="shared" si="2"/>
        <v>11</v>
      </c>
      <c r="F56" s="16" t="s">
        <v>124</v>
      </c>
      <c r="G56" s="16">
        <v>33.0</v>
      </c>
      <c r="H56" s="16" t="s">
        <v>120</v>
      </c>
      <c r="I56" s="16"/>
      <c r="J56" s="14">
        <v>2.0</v>
      </c>
      <c r="K56" s="14">
        <v>170.0</v>
      </c>
      <c r="L56" s="14">
        <v>500.0</v>
      </c>
      <c r="M56" s="14">
        <f t="shared" si="3"/>
        <v>330</v>
      </c>
      <c r="N56" s="1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13"/>
      <c r="B57" s="14">
        <f t="shared" si="7"/>
        <v>54</v>
      </c>
      <c r="C57" s="15" t="s">
        <v>125</v>
      </c>
      <c r="D57" s="14">
        <f t="shared" si="1"/>
        <v>2020</v>
      </c>
      <c r="E57" s="14">
        <f t="shared" si="2"/>
        <v>11</v>
      </c>
      <c r="F57" s="16" t="s">
        <v>126</v>
      </c>
      <c r="G57" s="16"/>
      <c r="H57" s="16" t="s">
        <v>127</v>
      </c>
      <c r="I57" s="16" t="s">
        <v>128</v>
      </c>
      <c r="J57" s="14"/>
      <c r="K57" s="14">
        <v>500.0</v>
      </c>
      <c r="L57" s="14">
        <v>1100.0</v>
      </c>
      <c r="M57" s="14">
        <f t="shared" si="3"/>
        <v>600</v>
      </c>
      <c r="N57" s="1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13"/>
      <c r="B58" s="19">
        <f t="shared" si="7"/>
        <v>55</v>
      </c>
      <c r="C58" s="20">
        <v>44156.0</v>
      </c>
      <c r="D58" s="19">
        <f t="shared" si="1"/>
        <v>2020</v>
      </c>
      <c r="E58" s="19">
        <f t="shared" si="2"/>
        <v>11</v>
      </c>
      <c r="F58" s="16" t="s">
        <v>129</v>
      </c>
      <c r="G58" s="16">
        <v>33.0</v>
      </c>
      <c r="H58" s="16" t="s">
        <v>120</v>
      </c>
      <c r="I58" s="16"/>
      <c r="J58" s="14">
        <v>1.0</v>
      </c>
      <c r="K58" s="14">
        <v>84.0</v>
      </c>
      <c r="L58" s="14">
        <v>250.0</v>
      </c>
      <c r="M58" s="14">
        <f t="shared" si="3"/>
        <v>166</v>
      </c>
      <c r="N58" s="1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13"/>
      <c r="B59" s="19">
        <f t="shared" si="7"/>
        <v>56</v>
      </c>
      <c r="C59" s="20">
        <v>44161.0</v>
      </c>
      <c r="D59" s="19">
        <f t="shared" si="1"/>
        <v>2020</v>
      </c>
      <c r="E59" s="19">
        <f t="shared" si="2"/>
        <v>11</v>
      </c>
      <c r="F59" s="16" t="s">
        <v>130</v>
      </c>
      <c r="G59" s="16">
        <v>33.0</v>
      </c>
      <c r="H59" s="16" t="s">
        <v>131</v>
      </c>
      <c r="I59" s="16"/>
      <c r="J59" s="14">
        <v>2.0</v>
      </c>
      <c r="K59" s="14">
        <v>170.0</v>
      </c>
      <c r="L59" s="14">
        <v>500.0</v>
      </c>
      <c r="M59" s="14">
        <f t="shared" si="3"/>
        <v>330</v>
      </c>
      <c r="N59" s="1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13"/>
      <c r="B60" s="14">
        <f t="shared" si="7"/>
        <v>57</v>
      </c>
      <c r="C60" s="15">
        <v>44155.0</v>
      </c>
      <c r="D60" s="14">
        <f t="shared" si="1"/>
        <v>2020</v>
      </c>
      <c r="E60" s="14">
        <f t="shared" si="2"/>
        <v>11</v>
      </c>
      <c r="F60" s="15" t="s">
        <v>16</v>
      </c>
      <c r="G60" s="16">
        <v>33.0</v>
      </c>
      <c r="H60" s="16" t="s">
        <v>131</v>
      </c>
      <c r="I60" s="16"/>
      <c r="J60" s="14">
        <v>1.0</v>
      </c>
      <c r="K60" s="14">
        <v>84.0</v>
      </c>
      <c r="L60" s="14">
        <v>250.0</v>
      </c>
      <c r="M60" s="14">
        <f t="shared" si="3"/>
        <v>166</v>
      </c>
      <c r="N60" s="1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13"/>
      <c r="B61" s="19">
        <f t="shared" si="7"/>
        <v>58</v>
      </c>
      <c r="C61" s="20">
        <v>44162.0</v>
      </c>
      <c r="D61" s="19">
        <f t="shared" si="1"/>
        <v>2020</v>
      </c>
      <c r="E61" s="19">
        <f t="shared" si="2"/>
        <v>11</v>
      </c>
      <c r="F61" s="15" t="s">
        <v>132</v>
      </c>
      <c r="G61" s="16">
        <v>33.0</v>
      </c>
      <c r="H61" s="16" t="s">
        <v>120</v>
      </c>
      <c r="I61" s="16"/>
      <c r="J61" s="14">
        <v>2.0</v>
      </c>
      <c r="K61" s="14">
        <f>84+84</f>
        <v>168</v>
      </c>
      <c r="L61" s="14">
        <v>500.0</v>
      </c>
      <c r="M61" s="14">
        <f t="shared" si="3"/>
        <v>332</v>
      </c>
      <c r="N61" s="1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13"/>
      <c r="B62" s="14">
        <f t="shared" si="7"/>
        <v>59</v>
      </c>
      <c r="C62" s="15">
        <v>44155.0</v>
      </c>
      <c r="D62" s="14">
        <f t="shared" si="1"/>
        <v>2020</v>
      </c>
      <c r="E62" s="14">
        <f t="shared" si="2"/>
        <v>11</v>
      </c>
      <c r="F62" s="15" t="s">
        <v>133</v>
      </c>
      <c r="G62" s="16">
        <v>33.0</v>
      </c>
      <c r="H62" s="16" t="s">
        <v>131</v>
      </c>
      <c r="I62" s="16"/>
      <c r="J62" s="14">
        <v>1.0</v>
      </c>
      <c r="K62" s="14">
        <v>84.0</v>
      </c>
      <c r="L62" s="14">
        <v>250.0</v>
      </c>
      <c r="M62" s="14">
        <f t="shared" si="3"/>
        <v>166</v>
      </c>
      <c r="N62" s="1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13"/>
      <c r="B63" s="14">
        <f t="shared" si="7"/>
        <v>60</v>
      </c>
      <c r="C63" s="15">
        <v>44155.0</v>
      </c>
      <c r="D63" s="14">
        <f t="shared" si="1"/>
        <v>2020</v>
      </c>
      <c r="E63" s="14">
        <f t="shared" si="2"/>
        <v>11</v>
      </c>
      <c r="F63" s="15" t="s">
        <v>134</v>
      </c>
      <c r="G63" s="16">
        <v>33.0</v>
      </c>
      <c r="H63" s="16" t="s">
        <v>131</v>
      </c>
      <c r="I63" s="16"/>
      <c r="J63" s="14">
        <v>1.0</v>
      </c>
      <c r="K63" s="14">
        <v>84.0</v>
      </c>
      <c r="L63" s="14">
        <v>250.0</v>
      </c>
      <c r="M63" s="14">
        <f t="shared" si="3"/>
        <v>166</v>
      </c>
      <c r="N63" s="1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13"/>
      <c r="B64" s="14">
        <f t="shared" si="7"/>
        <v>61</v>
      </c>
      <c r="C64" s="15">
        <v>44177.0</v>
      </c>
      <c r="D64" s="14">
        <f t="shared" si="1"/>
        <v>2020</v>
      </c>
      <c r="E64" s="14">
        <f t="shared" si="2"/>
        <v>12</v>
      </c>
      <c r="F64" s="15" t="s">
        <v>135</v>
      </c>
      <c r="G64" s="16"/>
      <c r="H64" s="16" t="s">
        <v>136</v>
      </c>
      <c r="I64" s="16" t="s">
        <v>137</v>
      </c>
      <c r="J64" s="14">
        <v>1.0</v>
      </c>
      <c r="K64" s="14"/>
      <c r="L64" s="14">
        <v>1800.0</v>
      </c>
      <c r="M64" s="14">
        <f t="shared" si="3"/>
        <v>1800</v>
      </c>
      <c r="N64" s="1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13"/>
      <c r="B65" s="14">
        <v>62.0</v>
      </c>
      <c r="C65" s="15">
        <v>44177.0</v>
      </c>
      <c r="D65" s="14">
        <f t="shared" si="1"/>
        <v>2020</v>
      </c>
      <c r="E65" s="14">
        <f t="shared" si="2"/>
        <v>12</v>
      </c>
      <c r="F65" s="15" t="s">
        <v>138</v>
      </c>
      <c r="G65" s="16"/>
      <c r="H65" s="16" t="s">
        <v>139</v>
      </c>
      <c r="I65" s="16" t="s">
        <v>140</v>
      </c>
      <c r="J65" s="14">
        <v>1.0</v>
      </c>
      <c r="K65" s="14"/>
      <c r="L65" s="14">
        <v>1700.0</v>
      </c>
      <c r="M65" s="14">
        <f t="shared" si="3"/>
        <v>1700</v>
      </c>
      <c r="N65" s="1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13"/>
      <c r="B66" s="14">
        <v>63.0</v>
      </c>
      <c r="C66" s="15">
        <v>44177.0</v>
      </c>
      <c r="D66" s="14">
        <f t="shared" si="1"/>
        <v>2020</v>
      </c>
      <c r="E66" s="14">
        <f t="shared" si="2"/>
        <v>12</v>
      </c>
      <c r="F66" s="15" t="s">
        <v>81</v>
      </c>
      <c r="G66" s="16">
        <v>36.0</v>
      </c>
      <c r="H66" s="16" t="s">
        <v>141</v>
      </c>
      <c r="I66" s="16" t="s">
        <v>142</v>
      </c>
      <c r="J66" s="14">
        <v>1.0</v>
      </c>
      <c r="K66" s="14">
        <v>308.0</v>
      </c>
      <c r="L66" s="14">
        <v>650.0</v>
      </c>
      <c r="M66" s="14">
        <f t="shared" si="3"/>
        <v>342</v>
      </c>
      <c r="N66" s="1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13"/>
      <c r="B67" s="14">
        <v>64.0</v>
      </c>
      <c r="C67" s="15">
        <v>44178.0</v>
      </c>
      <c r="D67" s="14">
        <f t="shared" si="1"/>
        <v>2020</v>
      </c>
      <c r="E67" s="14">
        <f t="shared" si="2"/>
        <v>12</v>
      </c>
      <c r="F67" s="15" t="s">
        <v>143</v>
      </c>
      <c r="G67" s="16">
        <v>35.0</v>
      </c>
      <c r="H67" s="16" t="s">
        <v>144</v>
      </c>
      <c r="I67" s="16" t="s">
        <v>145</v>
      </c>
      <c r="J67" s="14">
        <v>1.0</v>
      </c>
      <c r="K67" s="14">
        <v>465.0</v>
      </c>
      <c r="L67" s="14">
        <v>1700.0</v>
      </c>
      <c r="M67" s="14">
        <f t="shared" si="3"/>
        <v>1235</v>
      </c>
      <c r="N67" s="1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13"/>
      <c r="B68" s="14">
        <v>65.0</v>
      </c>
      <c r="C68" s="15">
        <v>44179.0</v>
      </c>
      <c r="D68" s="14">
        <f t="shared" si="1"/>
        <v>2020</v>
      </c>
      <c r="E68" s="14">
        <f t="shared" si="2"/>
        <v>12</v>
      </c>
      <c r="F68" s="15" t="s">
        <v>146</v>
      </c>
      <c r="G68" s="16"/>
      <c r="H68" s="16" t="s">
        <v>147</v>
      </c>
      <c r="I68" s="16" t="s">
        <v>148</v>
      </c>
      <c r="J68" s="14">
        <v>4.0</v>
      </c>
      <c r="K68" s="14">
        <v>450.0</v>
      </c>
      <c r="L68" s="14">
        <v>450.0</v>
      </c>
      <c r="M68" s="14">
        <f t="shared" si="3"/>
        <v>0</v>
      </c>
      <c r="N68" s="1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13"/>
      <c r="B69" s="14">
        <v>66.0</v>
      </c>
      <c r="C69" s="15">
        <v>44181.0</v>
      </c>
      <c r="D69" s="14">
        <f t="shared" si="1"/>
        <v>2020</v>
      </c>
      <c r="E69" s="14">
        <f t="shared" si="2"/>
        <v>12</v>
      </c>
      <c r="F69" s="15" t="s">
        <v>149</v>
      </c>
      <c r="G69" s="16"/>
      <c r="H69" s="16" t="s">
        <v>150</v>
      </c>
      <c r="I69" s="16" t="s">
        <v>151</v>
      </c>
      <c r="J69" s="14">
        <v>1.0</v>
      </c>
      <c r="K69" s="14"/>
      <c r="L69" s="14">
        <v>1500.0</v>
      </c>
      <c r="M69" s="14"/>
      <c r="N69" s="1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13"/>
      <c r="B70" s="14">
        <v>67.0</v>
      </c>
      <c r="C70" s="15">
        <v>44181.0</v>
      </c>
      <c r="D70" s="14">
        <f t="shared" si="1"/>
        <v>2020</v>
      </c>
      <c r="E70" s="14">
        <f t="shared" si="2"/>
        <v>12</v>
      </c>
      <c r="F70" s="15" t="s">
        <v>152</v>
      </c>
      <c r="G70" s="16"/>
      <c r="H70" s="16" t="s">
        <v>153</v>
      </c>
      <c r="I70" s="16" t="s">
        <v>154</v>
      </c>
      <c r="J70" s="14">
        <v>1.0</v>
      </c>
      <c r="K70" s="14"/>
      <c r="L70" s="14">
        <v>1000.0</v>
      </c>
      <c r="M70" s="14"/>
      <c r="N70" s="1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13"/>
      <c r="B71" s="14">
        <v>68.0</v>
      </c>
      <c r="C71" s="15">
        <v>44182.0</v>
      </c>
      <c r="D71" s="14">
        <f t="shared" si="1"/>
        <v>2020</v>
      </c>
      <c r="E71" s="14">
        <f t="shared" si="2"/>
        <v>12</v>
      </c>
      <c r="F71" s="15" t="s">
        <v>155</v>
      </c>
      <c r="G71" s="16" t="s">
        <v>156</v>
      </c>
      <c r="H71" s="16" t="s">
        <v>157</v>
      </c>
      <c r="I71" s="16" t="s">
        <v>158</v>
      </c>
      <c r="J71" s="14">
        <v>12.0</v>
      </c>
      <c r="K71" s="14"/>
      <c r="L71" s="14">
        <v>800.0</v>
      </c>
      <c r="M71" s="14"/>
      <c r="N71" s="1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13"/>
      <c r="B72" s="14">
        <v>69.0</v>
      </c>
      <c r="C72" s="15">
        <v>44182.0</v>
      </c>
      <c r="D72" s="14">
        <f t="shared" si="1"/>
        <v>2020</v>
      </c>
      <c r="E72" s="14">
        <f t="shared" si="2"/>
        <v>12</v>
      </c>
      <c r="F72" s="15" t="s">
        <v>159</v>
      </c>
      <c r="G72" s="16" t="s">
        <v>160</v>
      </c>
      <c r="H72" s="16" t="s">
        <v>161</v>
      </c>
      <c r="I72" s="16" t="s">
        <v>162</v>
      </c>
      <c r="J72" s="14">
        <v>2.0</v>
      </c>
      <c r="K72" s="14"/>
      <c r="L72" s="14">
        <v>1600.0</v>
      </c>
      <c r="M72" s="14"/>
      <c r="N72" s="1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13"/>
      <c r="B73" s="14">
        <v>70.0</v>
      </c>
      <c r="C73" s="15">
        <v>44186.0</v>
      </c>
      <c r="D73" s="14">
        <f t="shared" si="1"/>
        <v>2020</v>
      </c>
      <c r="E73" s="14">
        <f t="shared" si="2"/>
        <v>12</v>
      </c>
      <c r="F73" s="15" t="s">
        <v>163</v>
      </c>
      <c r="G73" s="16">
        <v>6.0</v>
      </c>
      <c r="H73" s="16" t="s">
        <v>18</v>
      </c>
      <c r="I73" s="16" t="s">
        <v>164</v>
      </c>
      <c r="J73" s="14">
        <v>1.0</v>
      </c>
      <c r="K73" s="14">
        <v>408.0</v>
      </c>
      <c r="L73" s="14">
        <v>1100.0</v>
      </c>
      <c r="M73" s="14">
        <f t="shared" ref="M73:M110" si="8">L73-K73</f>
        <v>692</v>
      </c>
      <c r="N73" s="16" t="s">
        <v>165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13"/>
      <c r="B74" s="14">
        <f t="shared" ref="B74:B115" si="9">B73+1</f>
        <v>71</v>
      </c>
      <c r="C74" s="15">
        <v>44186.0</v>
      </c>
      <c r="D74" s="14">
        <f t="shared" si="1"/>
        <v>2020</v>
      </c>
      <c r="E74" s="14">
        <f t="shared" si="2"/>
        <v>12</v>
      </c>
      <c r="F74" s="15" t="s">
        <v>163</v>
      </c>
      <c r="G74" s="16"/>
      <c r="H74" s="16" t="s">
        <v>156</v>
      </c>
      <c r="I74" s="16" t="s">
        <v>166</v>
      </c>
      <c r="J74" s="14">
        <v>6.0</v>
      </c>
      <c r="K74" s="14"/>
      <c r="L74" s="14">
        <v>550.0</v>
      </c>
      <c r="M74" s="14">
        <f t="shared" si="8"/>
        <v>550</v>
      </c>
      <c r="N74" s="1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13"/>
      <c r="B75" s="14">
        <f t="shared" si="9"/>
        <v>72</v>
      </c>
      <c r="C75" s="15">
        <v>44189.0</v>
      </c>
      <c r="D75" s="14">
        <f t="shared" si="1"/>
        <v>2020</v>
      </c>
      <c r="E75" s="14">
        <f t="shared" si="2"/>
        <v>12</v>
      </c>
      <c r="F75" s="15" t="s">
        <v>81</v>
      </c>
      <c r="G75" s="16">
        <v>36.0</v>
      </c>
      <c r="H75" s="16" t="s">
        <v>141</v>
      </c>
      <c r="I75" s="16" t="s">
        <v>167</v>
      </c>
      <c r="J75" s="14">
        <v>2.0</v>
      </c>
      <c r="K75" s="14">
        <v>616.0</v>
      </c>
      <c r="L75" s="14">
        <v>1300.0</v>
      </c>
      <c r="M75" s="14">
        <f t="shared" si="8"/>
        <v>684</v>
      </c>
      <c r="N75" s="1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13"/>
      <c r="B76" s="14">
        <f t="shared" si="9"/>
        <v>73</v>
      </c>
      <c r="C76" s="15">
        <v>44189.0</v>
      </c>
      <c r="D76" s="14">
        <f t="shared" si="1"/>
        <v>2020</v>
      </c>
      <c r="E76" s="14">
        <f t="shared" si="2"/>
        <v>12</v>
      </c>
      <c r="F76" s="15" t="s">
        <v>72</v>
      </c>
      <c r="G76" s="16">
        <v>38.0</v>
      </c>
      <c r="H76" s="16" t="s">
        <v>168</v>
      </c>
      <c r="I76" s="16" t="s">
        <v>169</v>
      </c>
      <c r="J76" s="14">
        <v>1.0</v>
      </c>
      <c r="K76" s="14">
        <v>551.0</v>
      </c>
      <c r="L76" s="14">
        <v>1100.0</v>
      </c>
      <c r="M76" s="14">
        <f t="shared" si="8"/>
        <v>549</v>
      </c>
      <c r="N76" s="1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13"/>
      <c r="B77" s="14">
        <f t="shared" si="9"/>
        <v>74</v>
      </c>
      <c r="C77" s="15">
        <v>44189.0</v>
      </c>
      <c r="D77" s="14">
        <f t="shared" si="1"/>
        <v>2020</v>
      </c>
      <c r="E77" s="14">
        <f t="shared" si="2"/>
        <v>12</v>
      </c>
      <c r="F77" s="15" t="s">
        <v>170</v>
      </c>
      <c r="G77" s="16">
        <v>38.0</v>
      </c>
      <c r="H77" s="16" t="s">
        <v>171</v>
      </c>
      <c r="I77" s="16" t="s">
        <v>172</v>
      </c>
      <c r="J77" s="14">
        <v>1.0</v>
      </c>
      <c r="K77" s="14">
        <v>551.0</v>
      </c>
      <c r="L77" s="14">
        <v>1100.0</v>
      </c>
      <c r="M77" s="14">
        <f t="shared" si="8"/>
        <v>549</v>
      </c>
      <c r="N77" s="1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13"/>
      <c r="B78" s="14">
        <f t="shared" si="9"/>
        <v>75</v>
      </c>
      <c r="C78" s="15">
        <v>44189.0</v>
      </c>
      <c r="D78" s="14">
        <f t="shared" si="1"/>
        <v>2020</v>
      </c>
      <c r="E78" s="14">
        <f t="shared" si="2"/>
        <v>12</v>
      </c>
      <c r="F78" s="15" t="s">
        <v>155</v>
      </c>
      <c r="G78" s="16">
        <v>28.0</v>
      </c>
      <c r="H78" s="16" t="s">
        <v>156</v>
      </c>
      <c r="I78" s="16" t="s">
        <v>173</v>
      </c>
      <c r="J78" s="14">
        <v>12.0</v>
      </c>
      <c r="K78" s="14">
        <v>120.0</v>
      </c>
      <c r="L78" s="14">
        <v>1000.0</v>
      </c>
      <c r="M78" s="14">
        <f t="shared" si="8"/>
        <v>880</v>
      </c>
      <c r="N78" s="1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13"/>
      <c r="B79" s="14">
        <f t="shared" si="9"/>
        <v>76</v>
      </c>
      <c r="C79" s="15">
        <v>44189.0</v>
      </c>
      <c r="D79" s="14">
        <f t="shared" si="1"/>
        <v>2020</v>
      </c>
      <c r="E79" s="14">
        <f t="shared" si="2"/>
        <v>12</v>
      </c>
      <c r="F79" s="15" t="s">
        <v>174</v>
      </c>
      <c r="G79" s="16">
        <v>38.0</v>
      </c>
      <c r="H79" s="16" t="s">
        <v>168</v>
      </c>
      <c r="I79" s="16" t="s">
        <v>175</v>
      </c>
      <c r="J79" s="14">
        <v>1.0</v>
      </c>
      <c r="K79" s="14">
        <v>551.0</v>
      </c>
      <c r="L79" s="14">
        <v>1100.0</v>
      </c>
      <c r="M79" s="14">
        <f t="shared" si="8"/>
        <v>549</v>
      </c>
      <c r="N79" s="1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13"/>
      <c r="B80" s="14">
        <f t="shared" si="9"/>
        <v>77</v>
      </c>
      <c r="C80" s="15">
        <v>44230.0</v>
      </c>
      <c r="D80" s="14">
        <f t="shared" si="1"/>
        <v>2021</v>
      </c>
      <c r="E80" s="14">
        <f t="shared" si="2"/>
        <v>2</v>
      </c>
      <c r="F80" s="15" t="s">
        <v>176</v>
      </c>
      <c r="G80" s="16">
        <v>25.0</v>
      </c>
      <c r="H80" s="16" t="s">
        <v>177</v>
      </c>
      <c r="I80" s="16" t="s">
        <v>178</v>
      </c>
      <c r="J80" s="14">
        <v>1.0</v>
      </c>
      <c r="K80" s="14">
        <v>553.0</v>
      </c>
      <c r="L80" s="14">
        <v>1400.0</v>
      </c>
      <c r="M80" s="14">
        <f t="shared" si="8"/>
        <v>847</v>
      </c>
      <c r="N80" s="1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13"/>
      <c r="B81" s="14">
        <f t="shared" si="9"/>
        <v>78</v>
      </c>
      <c r="C81" s="15">
        <v>44236.0</v>
      </c>
      <c r="D81" s="14">
        <f t="shared" si="1"/>
        <v>2021</v>
      </c>
      <c r="E81" s="14">
        <f t="shared" si="2"/>
        <v>2</v>
      </c>
      <c r="F81" s="15" t="s">
        <v>179</v>
      </c>
      <c r="G81" s="16">
        <v>43.0</v>
      </c>
      <c r="H81" s="16" t="s">
        <v>21</v>
      </c>
      <c r="I81" s="16" t="s">
        <v>180</v>
      </c>
      <c r="J81" s="14">
        <v>1.0</v>
      </c>
      <c r="K81" s="14">
        <v>576.0</v>
      </c>
      <c r="L81" s="14">
        <v>2300.0</v>
      </c>
      <c r="M81" s="14">
        <f t="shared" si="8"/>
        <v>1724</v>
      </c>
      <c r="N81" s="1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13"/>
      <c r="B82" s="14">
        <f t="shared" si="9"/>
        <v>79</v>
      </c>
      <c r="C82" s="15">
        <v>44237.0</v>
      </c>
      <c r="D82" s="14">
        <f t="shared" si="1"/>
        <v>2021</v>
      </c>
      <c r="E82" s="14">
        <f t="shared" si="2"/>
        <v>2</v>
      </c>
      <c r="F82" s="15" t="s">
        <v>181</v>
      </c>
      <c r="G82" s="16">
        <v>44.0</v>
      </c>
      <c r="H82" s="16" t="s">
        <v>182</v>
      </c>
      <c r="I82" s="16" t="s">
        <v>30</v>
      </c>
      <c r="J82" s="14">
        <v>1.0</v>
      </c>
      <c r="K82" s="14">
        <v>461.0</v>
      </c>
      <c r="L82" s="14">
        <v>2000.0</v>
      </c>
      <c r="M82" s="14">
        <f t="shared" si="8"/>
        <v>1539</v>
      </c>
      <c r="N82" s="1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13"/>
      <c r="B83" s="14">
        <f t="shared" si="9"/>
        <v>80</v>
      </c>
      <c r="C83" s="15">
        <v>44246.0</v>
      </c>
      <c r="D83" s="14">
        <f t="shared" si="1"/>
        <v>2021</v>
      </c>
      <c r="E83" s="14">
        <f t="shared" si="2"/>
        <v>2</v>
      </c>
      <c r="F83" s="15" t="s">
        <v>183</v>
      </c>
      <c r="G83" s="16">
        <v>45.0</v>
      </c>
      <c r="H83" s="16" t="s">
        <v>184</v>
      </c>
      <c r="I83" s="16" t="s">
        <v>185</v>
      </c>
      <c r="J83" s="14">
        <v>1.0</v>
      </c>
      <c r="K83" s="14">
        <v>857.0</v>
      </c>
      <c r="L83" s="14">
        <v>2200.0</v>
      </c>
      <c r="M83" s="14">
        <f t="shared" si="8"/>
        <v>1343</v>
      </c>
      <c r="N83" s="1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13"/>
      <c r="B84" s="14">
        <f t="shared" si="9"/>
        <v>81</v>
      </c>
      <c r="C84" s="15">
        <v>44248.0</v>
      </c>
      <c r="D84" s="14">
        <f t="shared" si="1"/>
        <v>2021</v>
      </c>
      <c r="E84" s="14">
        <f t="shared" si="2"/>
        <v>2</v>
      </c>
      <c r="F84" s="15" t="s">
        <v>186</v>
      </c>
      <c r="G84" s="16">
        <v>2.0</v>
      </c>
      <c r="H84" s="16" t="s">
        <v>14</v>
      </c>
      <c r="I84" s="16"/>
      <c r="J84" s="14">
        <v>6.0</v>
      </c>
      <c r="K84" s="14">
        <v>306.0</v>
      </c>
      <c r="L84" s="14">
        <v>550.0</v>
      </c>
      <c r="M84" s="14">
        <f t="shared" si="8"/>
        <v>244</v>
      </c>
      <c r="N84" s="1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13"/>
      <c r="B85" s="14">
        <f t="shared" si="9"/>
        <v>82</v>
      </c>
      <c r="C85" s="15">
        <v>44248.0</v>
      </c>
      <c r="D85" s="14">
        <f t="shared" si="1"/>
        <v>2021</v>
      </c>
      <c r="E85" s="14">
        <f t="shared" si="2"/>
        <v>2</v>
      </c>
      <c r="F85" s="15" t="s">
        <v>186</v>
      </c>
      <c r="G85" s="16">
        <v>43.0</v>
      </c>
      <c r="H85" s="16" t="s">
        <v>144</v>
      </c>
      <c r="I85" s="16" t="s">
        <v>180</v>
      </c>
      <c r="J85" s="14">
        <v>1.0</v>
      </c>
      <c r="K85" s="14">
        <v>576.0</v>
      </c>
      <c r="L85" s="14">
        <v>2300.0</v>
      </c>
      <c r="M85" s="14">
        <f t="shared" si="8"/>
        <v>1724</v>
      </c>
      <c r="N85" s="1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13"/>
      <c r="B86" s="14">
        <f t="shared" si="9"/>
        <v>83</v>
      </c>
      <c r="C86" s="15">
        <v>44248.0</v>
      </c>
      <c r="D86" s="14">
        <f t="shared" si="1"/>
        <v>2021</v>
      </c>
      <c r="E86" s="14">
        <f t="shared" si="2"/>
        <v>2</v>
      </c>
      <c r="F86" s="15" t="s">
        <v>187</v>
      </c>
      <c r="G86" s="16">
        <v>24.0</v>
      </c>
      <c r="H86" s="16" t="s">
        <v>111</v>
      </c>
      <c r="I86" s="16" t="s">
        <v>178</v>
      </c>
      <c r="J86" s="14">
        <v>1.0</v>
      </c>
      <c r="K86" s="14">
        <v>400.0</v>
      </c>
      <c r="L86" s="14">
        <v>850.0</v>
      </c>
      <c r="M86" s="14">
        <f t="shared" si="8"/>
        <v>450</v>
      </c>
      <c r="N86" s="1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13"/>
      <c r="B87" s="14">
        <f t="shared" si="9"/>
        <v>84</v>
      </c>
      <c r="C87" s="15">
        <v>44260.0</v>
      </c>
      <c r="D87" s="14">
        <f t="shared" si="1"/>
        <v>2021</v>
      </c>
      <c r="E87" s="14">
        <f t="shared" si="2"/>
        <v>3</v>
      </c>
      <c r="F87" s="15" t="s">
        <v>44</v>
      </c>
      <c r="G87" s="16">
        <v>35.0</v>
      </c>
      <c r="H87" s="16" t="s">
        <v>188</v>
      </c>
      <c r="I87" s="16"/>
      <c r="J87" s="14">
        <v>1.0</v>
      </c>
      <c r="K87" s="14">
        <v>478.0</v>
      </c>
      <c r="L87" s="14">
        <v>1700.0</v>
      </c>
      <c r="M87" s="14">
        <f t="shared" si="8"/>
        <v>1222</v>
      </c>
      <c r="N87" s="1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13"/>
      <c r="B88" s="14">
        <f t="shared" si="9"/>
        <v>85</v>
      </c>
      <c r="C88" s="15">
        <v>44261.0</v>
      </c>
      <c r="D88" s="14">
        <f t="shared" si="1"/>
        <v>2021</v>
      </c>
      <c r="E88" s="14">
        <f t="shared" si="2"/>
        <v>3</v>
      </c>
      <c r="F88" s="15" t="s">
        <v>189</v>
      </c>
      <c r="G88" s="16">
        <v>2.0</v>
      </c>
      <c r="H88" s="16" t="s">
        <v>14</v>
      </c>
      <c r="I88" s="16"/>
      <c r="J88" s="14">
        <v>5.0</v>
      </c>
      <c r="K88" s="14">
        <v>153.5</v>
      </c>
      <c r="L88" s="14">
        <v>300.0</v>
      </c>
      <c r="M88" s="14">
        <f t="shared" si="8"/>
        <v>146.5</v>
      </c>
      <c r="N88" s="1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13"/>
      <c r="B89" s="14">
        <f t="shared" si="9"/>
        <v>86</v>
      </c>
      <c r="C89" s="15">
        <v>44262.0</v>
      </c>
      <c r="D89" s="14">
        <f t="shared" si="1"/>
        <v>2021</v>
      </c>
      <c r="E89" s="14">
        <f t="shared" si="2"/>
        <v>3</v>
      </c>
      <c r="F89" s="15" t="s">
        <v>190</v>
      </c>
      <c r="G89" s="16">
        <v>6.0</v>
      </c>
      <c r="H89" s="16" t="s">
        <v>191</v>
      </c>
      <c r="I89" s="16" t="s">
        <v>192</v>
      </c>
      <c r="J89" s="14">
        <v>1.0</v>
      </c>
      <c r="K89" s="14">
        <v>406.0</v>
      </c>
      <c r="L89" s="14">
        <v>2000.0</v>
      </c>
      <c r="M89" s="14">
        <f t="shared" si="8"/>
        <v>1594</v>
      </c>
      <c r="N89" s="1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13"/>
      <c r="B90" s="14">
        <f t="shared" si="9"/>
        <v>87</v>
      </c>
      <c r="C90" s="15">
        <v>44275.0</v>
      </c>
      <c r="D90" s="14">
        <f t="shared" si="1"/>
        <v>2021</v>
      </c>
      <c r="E90" s="14">
        <f t="shared" si="2"/>
        <v>3</v>
      </c>
      <c r="F90" s="15" t="s">
        <v>193</v>
      </c>
      <c r="G90" s="16"/>
      <c r="H90" s="16" t="s">
        <v>194</v>
      </c>
      <c r="I90" s="16" t="s">
        <v>195</v>
      </c>
      <c r="J90" s="14">
        <v>36.0</v>
      </c>
      <c r="K90" s="14">
        <v>800.0</v>
      </c>
      <c r="L90" s="14">
        <v>2000.0</v>
      </c>
      <c r="M90" s="14">
        <f t="shared" si="8"/>
        <v>1200</v>
      </c>
      <c r="N90" s="1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13"/>
      <c r="B91" s="21">
        <f t="shared" si="9"/>
        <v>88</v>
      </c>
      <c r="C91" s="22">
        <v>44290.0</v>
      </c>
      <c r="D91" s="21">
        <f t="shared" si="1"/>
        <v>2021</v>
      </c>
      <c r="E91" s="21">
        <f t="shared" si="2"/>
        <v>4</v>
      </c>
      <c r="F91" s="22" t="s">
        <v>196</v>
      </c>
      <c r="G91" s="23">
        <v>46.0</v>
      </c>
      <c r="H91" s="23" t="s">
        <v>197</v>
      </c>
      <c r="I91" s="23" t="s">
        <v>198</v>
      </c>
      <c r="J91" s="21">
        <v>3.0</v>
      </c>
      <c r="K91" s="21">
        <v>948.0</v>
      </c>
      <c r="L91" s="21">
        <v>2400.0</v>
      </c>
      <c r="M91" s="21">
        <f t="shared" si="8"/>
        <v>1452</v>
      </c>
      <c r="N91" s="16" t="s">
        <v>199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13"/>
      <c r="B92" s="14">
        <f t="shared" si="9"/>
        <v>89</v>
      </c>
      <c r="C92" s="15">
        <v>44290.0</v>
      </c>
      <c r="D92" s="14">
        <f t="shared" si="1"/>
        <v>2021</v>
      </c>
      <c r="E92" s="14">
        <f t="shared" si="2"/>
        <v>4</v>
      </c>
      <c r="F92" s="15" t="s">
        <v>200</v>
      </c>
      <c r="G92" s="16">
        <v>46.0</v>
      </c>
      <c r="H92" s="16" t="s">
        <v>197</v>
      </c>
      <c r="I92" s="16" t="s">
        <v>201</v>
      </c>
      <c r="J92" s="14">
        <v>2.0</v>
      </c>
      <c r="K92" s="14">
        <v>632.0</v>
      </c>
      <c r="L92" s="14">
        <v>1400.0</v>
      </c>
      <c r="M92" s="14">
        <f t="shared" si="8"/>
        <v>768</v>
      </c>
      <c r="N92" s="1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13"/>
      <c r="B93" s="14">
        <f t="shared" si="9"/>
        <v>90</v>
      </c>
      <c r="C93" s="15">
        <v>44290.0</v>
      </c>
      <c r="D93" s="14">
        <f t="shared" si="1"/>
        <v>2021</v>
      </c>
      <c r="E93" s="14">
        <f t="shared" si="2"/>
        <v>4</v>
      </c>
      <c r="F93" s="15" t="s">
        <v>202</v>
      </c>
      <c r="G93" s="16">
        <v>46.0</v>
      </c>
      <c r="H93" s="16" t="s">
        <v>197</v>
      </c>
      <c r="I93" s="16" t="s">
        <v>203</v>
      </c>
      <c r="J93" s="14">
        <v>2.0</v>
      </c>
      <c r="K93" s="14">
        <v>632.0</v>
      </c>
      <c r="L93" s="14">
        <v>1400.0</v>
      </c>
      <c r="M93" s="14">
        <f t="shared" si="8"/>
        <v>768</v>
      </c>
      <c r="N93" s="16" t="s">
        <v>199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13"/>
      <c r="B94" s="14">
        <f t="shared" si="9"/>
        <v>91</v>
      </c>
      <c r="C94" s="15">
        <v>44290.0</v>
      </c>
      <c r="D94" s="14">
        <f t="shared" si="1"/>
        <v>2021</v>
      </c>
      <c r="E94" s="14">
        <f t="shared" si="2"/>
        <v>4</v>
      </c>
      <c r="F94" s="15" t="s">
        <v>204</v>
      </c>
      <c r="G94" s="16">
        <v>46.0</v>
      </c>
      <c r="H94" s="16" t="s">
        <v>197</v>
      </c>
      <c r="I94" s="16" t="s">
        <v>205</v>
      </c>
      <c r="J94" s="14">
        <v>1.0</v>
      </c>
      <c r="K94" s="14">
        <v>316.0</v>
      </c>
      <c r="L94" s="14">
        <v>700.0</v>
      </c>
      <c r="M94" s="14">
        <f t="shared" si="8"/>
        <v>384</v>
      </c>
      <c r="N94" s="16" t="s">
        <v>199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13"/>
      <c r="B95" s="14">
        <f t="shared" si="9"/>
        <v>92</v>
      </c>
      <c r="C95" s="15">
        <v>44290.0</v>
      </c>
      <c r="D95" s="14">
        <f t="shared" si="1"/>
        <v>2021</v>
      </c>
      <c r="E95" s="14">
        <f t="shared" si="2"/>
        <v>4</v>
      </c>
      <c r="F95" s="15" t="s">
        <v>206</v>
      </c>
      <c r="G95" s="16">
        <v>46.0</v>
      </c>
      <c r="H95" s="16" t="s">
        <v>197</v>
      </c>
      <c r="I95" s="16" t="s">
        <v>207</v>
      </c>
      <c r="J95" s="14">
        <v>4.0</v>
      </c>
      <c r="K95" s="14">
        <v>1264.0</v>
      </c>
      <c r="L95" s="14">
        <v>2800.0</v>
      </c>
      <c r="M95" s="14">
        <f t="shared" si="8"/>
        <v>1536</v>
      </c>
      <c r="N95" s="1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13"/>
      <c r="B96" s="14">
        <f t="shared" si="9"/>
        <v>93</v>
      </c>
      <c r="C96" s="15">
        <v>44290.0</v>
      </c>
      <c r="D96" s="14">
        <f t="shared" si="1"/>
        <v>2021</v>
      </c>
      <c r="E96" s="14">
        <f t="shared" si="2"/>
        <v>4</v>
      </c>
      <c r="F96" s="15" t="s">
        <v>208</v>
      </c>
      <c r="G96" s="16">
        <v>23.0</v>
      </c>
      <c r="H96" s="16" t="s">
        <v>209</v>
      </c>
      <c r="I96" s="16" t="s">
        <v>210</v>
      </c>
      <c r="J96" s="14">
        <v>1.0</v>
      </c>
      <c r="K96" s="14">
        <v>284.0</v>
      </c>
      <c r="L96" s="14">
        <v>600.0</v>
      </c>
      <c r="M96" s="14">
        <f t="shared" si="8"/>
        <v>316</v>
      </c>
      <c r="N96" s="1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13"/>
      <c r="B97" s="14">
        <f t="shared" si="9"/>
        <v>94</v>
      </c>
      <c r="C97" s="15">
        <v>44290.0</v>
      </c>
      <c r="D97" s="14">
        <f t="shared" si="1"/>
        <v>2021</v>
      </c>
      <c r="E97" s="14">
        <f t="shared" si="2"/>
        <v>4</v>
      </c>
      <c r="F97" s="15" t="s">
        <v>211</v>
      </c>
      <c r="G97" s="16">
        <v>46.0</v>
      </c>
      <c r="H97" s="16" t="s">
        <v>197</v>
      </c>
      <c r="I97" s="16" t="s">
        <v>212</v>
      </c>
      <c r="J97" s="14">
        <v>3.0</v>
      </c>
      <c r="K97" s="14">
        <v>948.0</v>
      </c>
      <c r="L97" s="14">
        <v>2050.0</v>
      </c>
      <c r="M97" s="14">
        <f t="shared" si="8"/>
        <v>1102</v>
      </c>
      <c r="N97" s="16" t="s">
        <v>199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13"/>
      <c r="B98" s="14">
        <f t="shared" si="9"/>
        <v>95</v>
      </c>
      <c r="C98" s="15">
        <v>44300.0</v>
      </c>
      <c r="D98" s="14">
        <f t="shared" si="1"/>
        <v>2021</v>
      </c>
      <c r="E98" s="14">
        <f t="shared" si="2"/>
        <v>4</v>
      </c>
      <c r="F98" s="15" t="s">
        <v>213</v>
      </c>
      <c r="G98" s="16">
        <v>35.0</v>
      </c>
      <c r="H98" s="16" t="s">
        <v>188</v>
      </c>
      <c r="I98" s="16" t="s">
        <v>214</v>
      </c>
      <c r="J98" s="14">
        <v>1.0</v>
      </c>
      <c r="K98" s="14">
        <v>478.0</v>
      </c>
      <c r="L98" s="14">
        <v>2750.0</v>
      </c>
      <c r="M98" s="14">
        <f t="shared" si="8"/>
        <v>2272</v>
      </c>
      <c r="N98" s="16" t="s">
        <v>215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13"/>
      <c r="B99" s="14">
        <f t="shared" si="9"/>
        <v>96</v>
      </c>
      <c r="C99" s="15">
        <v>44302.0</v>
      </c>
      <c r="D99" s="14">
        <f t="shared" si="1"/>
        <v>2021</v>
      </c>
      <c r="E99" s="14">
        <f t="shared" si="2"/>
        <v>4</v>
      </c>
      <c r="F99" s="15" t="s">
        <v>216</v>
      </c>
      <c r="G99" s="16">
        <v>28.0</v>
      </c>
      <c r="H99" s="16" t="s">
        <v>156</v>
      </c>
      <c r="I99" s="16" t="s">
        <v>217</v>
      </c>
      <c r="J99" s="14">
        <v>12.0</v>
      </c>
      <c r="K99" s="14">
        <v>200.0</v>
      </c>
      <c r="L99" s="14">
        <v>1220.0</v>
      </c>
      <c r="M99" s="14">
        <f t="shared" si="8"/>
        <v>1020</v>
      </c>
      <c r="N99" s="1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13"/>
      <c r="B100" s="14">
        <f t="shared" si="9"/>
        <v>97</v>
      </c>
      <c r="C100" s="15">
        <v>44302.0</v>
      </c>
      <c r="D100" s="14">
        <f t="shared" si="1"/>
        <v>2021</v>
      </c>
      <c r="E100" s="14">
        <f t="shared" si="2"/>
        <v>4</v>
      </c>
      <c r="F100" s="15" t="s">
        <v>218</v>
      </c>
      <c r="G100" s="16">
        <v>48.0</v>
      </c>
      <c r="H100" s="16" t="s">
        <v>219</v>
      </c>
      <c r="I100" s="16" t="s">
        <v>30</v>
      </c>
      <c r="J100" s="14">
        <v>1.0</v>
      </c>
      <c r="K100" s="14">
        <v>864.0</v>
      </c>
      <c r="L100" s="14">
        <v>2000.0</v>
      </c>
      <c r="M100" s="14">
        <f t="shared" si="8"/>
        <v>1136</v>
      </c>
      <c r="N100" s="1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13"/>
      <c r="B101" s="14">
        <f t="shared" si="9"/>
        <v>98</v>
      </c>
      <c r="C101" s="15">
        <v>44303.0</v>
      </c>
      <c r="D101" s="14">
        <f t="shared" si="1"/>
        <v>2021</v>
      </c>
      <c r="E101" s="14">
        <f t="shared" si="2"/>
        <v>4</v>
      </c>
      <c r="F101" s="15" t="s">
        <v>220</v>
      </c>
      <c r="G101" s="16">
        <v>49.0</v>
      </c>
      <c r="H101" s="16" t="s">
        <v>221</v>
      </c>
      <c r="I101" s="16" t="s">
        <v>222</v>
      </c>
      <c r="J101" s="14">
        <v>1.0</v>
      </c>
      <c r="K101" s="14">
        <v>407.0</v>
      </c>
      <c r="L101" s="14">
        <v>1500.0</v>
      </c>
      <c r="M101" s="14">
        <f t="shared" si="8"/>
        <v>1093</v>
      </c>
      <c r="N101" s="16" t="s">
        <v>104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13"/>
      <c r="B102" s="14">
        <f t="shared" si="9"/>
        <v>99</v>
      </c>
      <c r="C102" s="15">
        <v>44303.0</v>
      </c>
      <c r="D102" s="14">
        <f t="shared" si="1"/>
        <v>2021</v>
      </c>
      <c r="E102" s="14">
        <f t="shared" si="2"/>
        <v>4</v>
      </c>
      <c r="F102" s="15" t="s">
        <v>134</v>
      </c>
      <c r="G102" s="16">
        <v>44.0</v>
      </c>
      <c r="H102" s="16" t="s">
        <v>223</v>
      </c>
      <c r="I102" s="16" t="s">
        <v>224</v>
      </c>
      <c r="J102" s="14">
        <v>1.0</v>
      </c>
      <c r="K102" s="14">
        <v>426.0</v>
      </c>
      <c r="L102" s="14">
        <v>1500.0</v>
      </c>
      <c r="M102" s="14">
        <f t="shared" si="8"/>
        <v>1074</v>
      </c>
      <c r="N102" s="1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13"/>
      <c r="B103" s="14">
        <f t="shared" si="9"/>
        <v>100</v>
      </c>
      <c r="C103" s="15">
        <v>44303.0</v>
      </c>
      <c r="D103" s="14">
        <f t="shared" si="1"/>
        <v>2021</v>
      </c>
      <c r="E103" s="14">
        <f t="shared" si="2"/>
        <v>4</v>
      </c>
      <c r="F103" s="15" t="s">
        <v>179</v>
      </c>
      <c r="G103" s="16">
        <v>50.0</v>
      </c>
      <c r="H103" s="16" t="s">
        <v>225</v>
      </c>
      <c r="I103" s="16" t="s">
        <v>226</v>
      </c>
      <c r="J103" s="14">
        <v>1.0</v>
      </c>
      <c r="K103" s="14">
        <v>571.0</v>
      </c>
      <c r="L103" s="14">
        <v>1000.0</v>
      </c>
      <c r="M103" s="14">
        <f t="shared" si="8"/>
        <v>429</v>
      </c>
      <c r="N103" s="1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13"/>
      <c r="B104" s="14">
        <f t="shared" si="9"/>
        <v>101</v>
      </c>
      <c r="C104" s="15">
        <v>44303.0</v>
      </c>
      <c r="D104" s="14">
        <f t="shared" si="1"/>
        <v>2021</v>
      </c>
      <c r="E104" s="14">
        <f t="shared" si="2"/>
        <v>4</v>
      </c>
      <c r="F104" s="15" t="s">
        <v>179</v>
      </c>
      <c r="G104" s="16">
        <v>47.0</v>
      </c>
      <c r="H104" s="16" t="s">
        <v>227</v>
      </c>
      <c r="I104" s="16" t="s">
        <v>228</v>
      </c>
      <c r="J104" s="14">
        <v>1.0</v>
      </c>
      <c r="K104" s="14"/>
      <c r="L104" s="14"/>
      <c r="M104" s="14">
        <f t="shared" si="8"/>
        <v>0</v>
      </c>
      <c r="N104" s="1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13"/>
      <c r="B105" s="14">
        <f t="shared" si="9"/>
        <v>102</v>
      </c>
      <c r="C105" s="15">
        <v>44303.0</v>
      </c>
      <c r="D105" s="14">
        <f t="shared" si="1"/>
        <v>2021</v>
      </c>
      <c r="E105" s="14">
        <f t="shared" si="2"/>
        <v>4</v>
      </c>
      <c r="F105" s="15" t="s">
        <v>229</v>
      </c>
      <c r="G105" s="16">
        <v>47.0</v>
      </c>
      <c r="H105" s="16" t="s">
        <v>227</v>
      </c>
      <c r="I105" s="16" t="s">
        <v>230</v>
      </c>
      <c r="J105" s="14">
        <v>1.0</v>
      </c>
      <c r="K105" s="14">
        <v>55.0</v>
      </c>
      <c r="L105" s="14">
        <v>200.0</v>
      </c>
      <c r="M105" s="14">
        <f t="shared" si="8"/>
        <v>145</v>
      </c>
      <c r="N105" s="1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13"/>
      <c r="B106" s="14">
        <f t="shared" si="9"/>
        <v>103</v>
      </c>
      <c r="C106" s="15">
        <v>44304.0</v>
      </c>
      <c r="D106" s="14">
        <f t="shared" si="1"/>
        <v>2021</v>
      </c>
      <c r="E106" s="14">
        <f t="shared" si="2"/>
        <v>4</v>
      </c>
      <c r="F106" s="15" t="s">
        <v>53</v>
      </c>
      <c r="G106" s="16">
        <v>52.0</v>
      </c>
      <c r="H106" s="16" t="s">
        <v>231</v>
      </c>
      <c r="I106" s="16" t="s">
        <v>232</v>
      </c>
      <c r="J106" s="14">
        <v>1.0</v>
      </c>
      <c r="K106" s="14">
        <v>175.0</v>
      </c>
      <c r="L106" s="14">
        <v>480.0</v>
      </c>
      <c r="M106" s="14">
        <f t="shared" si="8"/>
        <v>305</v>
      </c>
      <c r="N106" s="1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13"/>
      <c r="B107" s="14">
        <f t="shared" si="9"/>
        <v>104</v>
      </c>
      <c r="C107" s="15">
        <v>44305.0</v>
      </c>
      <c r="D107" s="14">
        <f t="shared" si="1"/>
        <v>2021</v>
      </c>
      <c r="E107" s="14">
        <f t="shared" si="2"/>
        <v>4</v>
      </c>
      <c r="F107" s="15" t="s">
        <v>53</v>
      </c>
      <c r="G107" s="16">
        <v>52.0</v>
      </c>
      <c r="H107" s="16" t="s">
        <v>231</v>
      </c>
      <c r="I107" s="16" t="s">
        <v>233</v>
      </c>
      <c r="J107" s="14">
        <v>1.0</v>
      </c>
      <c r="K107" s="14">
        <v>175.0</v>
      </c>
      <c r="L107" s="14">
        <v>480.0</v>
      </c>
      <c r="M107" s="14">
        <f t="shared" si="8"/>
        <v>305</v>
      </c>
      <c r="N107" s="1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13"/>
      <c r="B108" s="14">
        <f t="shared" si="9"/>
        <v>105</v>
      </c>
      <c r="C108" s="15">
        <v>44305.0</v>
      </c>
      <c r="D108" s="14">
        <f t="shared" si="1"/>
        <v>2021</v>
      </c>
      <c r="E108" s="14">
        <f t="shared" si="2"/>
        <v>4</v>
      </c>
      <c r="F108" s="15" t="s">
        <v>234</v>
      </c>
      <c r="G108" s="16">
        <v>51.0</v>
      </c>
      <c r="H108" s="16" t="s">
        <v>235</v>
      </c>
      <c r="I108" s="16" t="s">
        <v>236</v>
      </c>
      <c r="J108" s="14">
        <v>0.5</v>
      </c>
      <c r="K108" s="14">
        <f>85*2</f>
        <v>170</v>
      </c>
      <c r="L108" s="14">
        <v>170.0</v>
      </c>
      <c r="M108" s="14">
        <f t="shared" si="8"/>
        <v>0</v>
      </c>
      <c r="N108" s="16" t="s">
        <v>237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13"/>
      <c r="B109" s="14">
        <f t="shared" si="9"/>
        <v>106</v>
      </c>
      <c r="C109" s="15">
        <v>44306.0</v>
      </c>
      <c r="D109" s="14">
        <f t="shared" si="1"/>
        <v>2021</v>
      </c>
      <c r="E109" s="14">
        <f t="shared" si="2"/>
        <v>4</v>
      </c>
      <c r="F109" s="15" t="s">
        <v>238</v>
      </c>
      <c r="G109" s="16">
        <v>53.0</v>
      </c>
      <c r="H109" s="16" t="s">
        <v>239</v>
      </c>
      <c r="I109" s="16"/>
      <c r="J109" s="14">
        <v>1.0</v>
      </c>
      <c r="K109" s="14">
        <v>569.0</v>
      </c>
      <c r="L109" s="14">
        <v>1100.0</v>
      </c>
      <c r="M109" s="14">
        <f t="shared" si="8"/>
        <v>531</v>
      </c>
      <c r="N109" s="16" t="s">
        <v>240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13"/>
      <c r="B110" s="14">
        <f t="shared" si="9"/>
        <v>107</v>
      </c>
      <c r="C110" s="15">
        <v>44307.0</v>
      </c>
      <c r="D110" s="14">
        <f t="shared" si="1"/>
        <v>2021</v>
      </c>
      <c r="E110" s="14">
        <f t="shared" si="2"/>
        <v>4</v>
      </c>
      <c r="F110" s="15" t="s">
        <v>241</v>
      </c>
      <c r="G110" s="16">
        <v>54.0</v>
      </c>
      <c r="H110" s="16" t="s">
        <v>242</v>
      </c>
      <c r="I110" s="16" t="s">
        <v>243</v>
      </c>
      <c r="J110" s="14">
        <v>1.0</v>
      </c>
      <c r="K110" s="14">
        <v>777.0</v>
      </c>
      <c r="L110" s="14">
        <v>2600.0</v>
      </c>
      <c r="M110" s="14">
        <f t="shared" si="8"/>
        <v>1823</v>
      </c>
      <c r="N110" s="1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13"/>
      <c r="B111" s="14">
        <f t="shared" si="9"/>
        <v>108</v>
      </c>
      <c r="C111" s="15">
        <v>44307.0</v>
      </c>
      <c r="D111" s="14">
        <f t="shared" si="1"/>
        <v>2021</v>
      </c>
      <c r="E111" s="14">
        <f t="shared" si="2"/>
        <v>4</v>
      </c>
      <c r="F111" s="15" t="s">
        <v>244</v>
      </c>
      <c r="G111" s="16">
        <v>35.0</v>
      </c>
      <c r="H111" s="16" t="s">
        <v>245</v>
      </c>
      <c r="I111" s="16" t="s">
        <v>144</v>
      </c>
      <c r="J111" s="14">
        <v>1.0</v>
      </c>
      <c r="K111" s="14">
        <v>510.0</v>
      </c>
      <c r="L111" s="14"/>
      <c r="M111" s="14"/>
      <c r="N111" s="1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13"/>
      <c r="B112" s="14">
        <f t="shared" si="9"/>
        <v>109</v>
      </c>
      <c r="C112" s="15">
        <v>44308.0</v>
      </c>
      <c r="D112" s="14">
        <f t="shared" si="1"/>
        <v>2021</v>
      </c>
      <c r="E112" s="14">
        <f t="shared" si="2"/>
        <v>4</v>
      </c>
      <c r="F112" s="15" t="s">
        <v>246</v>
      </c>
      <c r="G112" s="16">
        <v>24.0</v>
      </c>
      <c r="H112" s="16" t="s">
        <v>111</v>
      </c>
      <c r="I112" s="16" t="s">
        <v>30</v>
      </c>
      <c r="J112" s="14">
        <v>1.0</v>
      </c>
      <c r="K112" s="14">
        <v>478.0</v>
      </c>
      <c r="L112" s="14">
        <v>1500.0</v>
      </c>
      <c r="M112" s="14">
        <f t="shared" ref="M112:M115" si="10">L112-K112</f>
        <v>1022</v>
      </c>
      <c r="N112" s="16" t="s">
        <v>237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13"/>
      <c r="B113" s="14">
        <f t="shared" si="9"/>
        <v>110</v>
      </c>
      <c r="C113" s="15">
        <v>44310.0</v>
      </c>
      <c r="D113" s="14">
        <f t="shared" si="1"/>
        <v>2021</v>
      </c>
      <c r="E113" s="14">
        <f t="shared" si="2"/>
        <v>4</v>
      </c>
      <c r="F113" s="15" t="s">
        <v>134</v>
      </c>
      <c r="G113" s="16">
        <v>1.0</v>
      </c>
      <c r="H113" s="16" t="s">
        <v>247</v>
      </c>
      <c r="I113" s="16"/>
      <c r="J113" s="14">
        <v>1.0</v>
      </c>
      <c r="K113" s="14">
        <v>298.0</v>
      </c>
      <c r="L113" s="14">
        <v>650.0</v>
      </c>
      <c r="M113" s="14">
        <f t="shared" si="10"/>
        <v>352</v>
      </c>
      <c r="N113" s="16" t="s">
        <v>237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13"/>
      <c r="B114" s="14">
        <f t="shared" si="9"/>
        <v>111</v>
      </c>
      <c r="C114" s="15">
        <v>44311.0</v>
      </c>
      <c r="D114" s="14">
        <f t="shared" si="1"/>
        <v>2021</v>
      </c>
      <c r="E114" s="14">
        <f t="shared" si="2"/>
        <v>4</v>
      </c>
      <c r="F114" s="15" t="s">
        <v>248</v>
      </c>
      <c r="G114" s="16">
        <v>54.0</v>
      </c>
      <c r="H114" s="16" t="s">
        <v>242</v>
      </c>
      <c r="I114" s="16" t="s">
        <v>249</v>
      </c>
      <c r="J114" s="14">
        <v>1.0</v>
      </c>
      <c r="K114" s="14">
        <v>354.0</v>
      </c>
      <c r="L114" s="14">
        <v>1600.0</v>
      </c>
      <c r="M114" s="14">
        <f t="shared" si="10"/>
        <v>1246</v>
      </c>
      <c r="N114" s="16" t="s">
        <v>250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13"/>
      <c r="B115" s="14">
        <f t="shared" si="9"/>
        <v>112</v>
      </c>
      <c r="C115" s="15">
        <v>44311.0</v>
      </c>
      <c r="D115" s="14">
        <f t="shared" si="1"/>
        <v>2021</v>
      </c>
      <c r="E115" s="14">
        <f t="shared" si="2"/>
        <v>4</v>
      </c>
      <c r="F115" s="15" t="s">
        <v>251</v>
      </c>
      <c r="G115" s="16">
        <v>24.0</v>
      </c>
      <c r="H115" s="16" t="s">
        <v>111</v>
      </c>
      <c r="I115" s="16" t="s">
        <v>252</v>
      </c>
      <c r="J115" s="14">
        <v>1.0</v>
      </c>
      <c r="K115" s="14">
        <v>478.0</v>
      </c>
      <c r="L115" s="14">
        <v>1000.0</v>
      </c>
      <c r="M115" s="14">
        <f t="shared" si="10"/>
        <v>522</v>
      </c>
      <c r="N115" s="1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13"/>
      <c r="B116" s="5"/>
      <c r="C116" s="6"/>
      <c r="D116" s="5" t="str">
        <f t="shared" si="1"/>
        <v/>
      </c>
      <c r="E116" s="5" t="str">
        <f t="shared" si="2"/>
        <v/>
      </c>
      <c r="F116" s="7"/>
      <c r="G116" s="7"/>
      <c r="H116" s="7"/>
      <c r="I116" s="7"/>
      <c r="J116" s="7"/>
      <c r="K116" s="7"/>
      <c r="L116" s="7"/>
      <c r="M116" s="7"/>
      <c r="N116" s="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13"/>
      <c r="B117" s="10">
        <f t="shared" ref="B117:B131" si="11">B116+1</f>
        <v>1</v>
      </c>
      <c r="C117" s="11">
        <v>44757.0</v>
      </c>
      <c r="D117" s="10">
        <f t="shared" si="1"/>
        <v>2022</v>
      </c>
      <c r="E117" s="10">
        <f t="shared" si="2"/>
        <v>7</v>
      </c>
      <c r="F117" s="11" t="s">
        <v>53</v>
      </c>
      <c r="G117" s="12">
        <v>63.0</v>
      </c>
      <c r="H117" s="12" t="str">
        <f>IFERROR(VLOOKUP(G117,'Costo x Articulo'!$B:$C,2,0),"")</f>
        <v/>
      </c>
      <c r="I117" s="12"/>
      <c r="J117" s="10">
        <v>1.0</v>
      </c>
      <c r="K117" s="10">
        <f>IFERROR(VLOOKUP(G117,'Costo x Articulo'!$B:$E,4,0)*J117,0)</f>
        <v>0</v>
      </c>
      <c r="L117" s="10">
        <f>IFERROR(VLOOKUP(G117,'Costo x Articulo'!$B:$E,3,0)*J117,0)</f>
        <v>0</v>
      </c>
      <c r="M117" s="10">
        <f t="shared" ref="M117:M459" si="12">L117-K117</f>
        <v>0</v>
      </c>
      <c r="N117" s="1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13"/>
      <c r="B118" s="14">
        <f t="shared" si="11"/>
        <v>2</v>
      </c>
      <c r="C118" s="15">
        <v>44758.0</v>
      </c>
      <c r="D118" s="14">
        <f t="shared" si="1"/>
        <v>2022</v>
      </c>
      <c r="E118" s="14">
        <f t="shared" si="2"/>
        <v>7</v>
      </c>
      <c r="F118" s="15" t="s">
        <v>253</v>
      </c>
      <c r="G118" s="16">
        <v>43.0</v>
      </c>
      <c r="H118" s="16" t="str">
        <f>IFERROR(VLOOKUP(G118,'Costo x Articulo'!$B:$C,2,0),"")</f>
        <v>desayuno opcion 3</v>
      </c>
      <c r="I118" s="16" t="s">
        <v>254</v>
      </c>
      <c r="J118" s="14">
        <v>1.0</v>
      </c>
      <c r="K118" s="14">
        <f>IFERROR(VLOOKUP(G118,'Costo x Articulo'!$B:$E,4,0)*J118,0)</f>
        <v>0</v>
      </c>
      <c r="L118" s="14">
        <f>IFERROR(VLOOKUP(G118,'Costo x Articulo'!$B:$E,3,0)*J118,0)</f>
        <v>0</v>
      </c>
      <c r="M118" s="14">
        <f t="shared" si="12"/>
        <v>0</v>
      </c>
      <c r="N118" s="1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13"/>
      <c r="B119" s="14">
        <f t="shared" si="11"/>
        <v>3</v>
      </c>
      <c r="C119" s="15">
        <v>44762.0</v>
      </c>
      <c r="D119" s="14">
        <f t="shared" si="1"/>
        <v>2022</v>
      </c>
      <c r="E119" s="14">
        <f t="shared" si="2"/>
        <v>7</v>
      </c>
      <c r="F119" s="15" t="s">
        <v>255</v>
      </c>
      <c r="G119" s="16"/>
      <c r="H119" s="16" t="str">
        <f>IFERROR(VLOOKUP(G119,'Costo x Articulo'!$B:$C,2,0),"")</f>
        <v/>
      </c>
      <c r="I119" s="16"/>
      <c r="J119" s="14">
        <v>2.0</v>
      </c>
      <c r="K119" s="14">
        <f>IFERROR(VLOOKUP(G119,'Costo x Articulo'!$B:$E,4,0)*J119,0)</f>
        <v>0</v>
      </c>
      <c r="L119" s="14">
        <f>IFERROR(VLOOKUP(G119,'Costo x Articulo'!$B:$E,3,0)*J119,0)</f>
        <v>0</v>
      </c>
      <c r="M119" s="14">
        <f t="shared" si="12"/>
        <v>0</v>
      </c>
      <c r="N119" s="1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13"/>
      <c r="B120" s="14">
        <f t="shared" si="11"/>
        <v>4</v>
      </c>
      <c r="C120" s="15">
        <v>44762.0</v>
      </c>
      <c r="D120" s="14">
        <f t="shared" si="1"/>
        <v>2022</v>
      </c>
      <c r="E120" s="14">
        <f t="shared" si="2"/>
        <v>7</v>
      </c>
      <c r="F120" s="15" t="s">
        <v>255</v>
      </c>
      <c r="G120" s="16"/>
      <c r="H120" s="16" t="str">
        <f>IFERROR(VLOOKUP(G120,'Costo x Articulo'!$B:$C,2,0),"")</f>
        <v/>
      </c>
      <c r="I120" s="16"/>
      <c r="J120" s="14">
        <v>2.0</v>
      </c>
      <c r="K120" s="14">
        <f>IFERROR(VLOOKUP(G120,'Costo x Articulo'!$B:$E,4,0)*J120,0)</f>
        <v>0</v>
      </c>
      <c r="L120" s="14">
        <f>IFERROR(VLOOKUP(G120,'Costo x Articulo'!$B:$E,3,0)*J120,0)</f>
        <v>0</v>
      </c>
      <c r="M120" s="14">
        <f t="shared" si="12"/>
        <v>0</v>
      </c>
      <c r="N120" s="1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13"/>
      <c r="B121" s="14">
        <f t="shared" si="11"/>
        <v>5</v>
      </c>
      <c r="C121" s="15">
        <v>44762.0</v>
      </c>
      <c r="D121" s="14">
        <f t="shared" si="1"/>
        <v>2022</v>
      </c>
      <c r="E121" s="14">
        <f t="shared" si="2"/>
        <v>7</v>
      </c>
      <c r="F121" s="15" t="s">
        <v>255</v>
      </c>
      <c r="G121" s="16"/>
      <c r="H121" s="16" t="str">
        <f>IFERROR(VLOOKUP(G121,'Costo x Articulo'!$B:$C,2,0),"")</f>
        <v/>
      </c>
      <c r="I121" s="16"/>
      <c r="J121" s="14">
        <v>2.0</v>
      </c>
      <c r="K121" s="14">
        <f>IFERROR(VLOOKUP(G121,'Costo x Articulo'!$B:$E,4,0)*J121,0)</f>
        <v>0</v>
      </c>
      <c r="L121" s="14">
        <f>IFERROR(VLOOKUP(G121,'Costo x Articulo'!$B:$E,3,0)*J121,0)</f>
        <v>0</v>
      </c>
      <c r="M121" s="14">
        <f t="shared" si="12"/>
        <v>0</v>
      </c>
      <c r="N121" s="1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13"/>
      <c r="B122" s="14">
        <f t="shared" si="11"/>
        <v>6</v>
      </c>
      <c r="C122" s="15">
        <v>44762.0</v>
      </c>
      <c r="D122" s="14">
        <f t="shared" si="1"/>
        <v>2022</v>
      </c>
      <c r="E122" s="14">
        <f t="shared" si="2"/>
        <v>7</v>
      </c>
      <c r="F122" s="15" t="s">
        <v>255</v>
      </c>
      <c r="G122" s="16">
        <v>2.0</v>
      </c>
      <c r="H122" s="16" t="str">
        <f>IFERROR(VLOOKUP(G122,'Costo x Articulo'!$B:$C,2,0),"")</f>
        <v>Macarrons x 12 unidades</v>
      </c>
      <c r="I122" s="16"/>
      <c r="J122" s="14">
        <v>2.0</v>
      </c>
      <c r="K122" s="14">
        <f>IFERROR(VLOOKUP(G122,'Costo x Articulo'!$B:$E,4,0)*J122,0)</f>
        <v>0</v>
      </c>
      <c r="L122" s="14">
        <f>IFERROR(VLOOKUP(G122,'Costo x Articulo'!$B:$E,3,0)*J122,0)</f>
        <v>14000</v>
      </c>
      <c r="M122" s="14">
        <f t="shared" si="12"/>
        <v>14000</v>
      </c>
      <c r="N122" s="1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13"/>
      <c r="B123" s="14">
        <f t="shared" si="11"/>
        <v>7</v>
      </c>
      <c r="C123" s="15">
        <v>44762.0</v>
      </c>
      <c r="D123" s="14">
        <f t="shared" si="1"/>
        <v>2022</v>
      </c>
      <c r="E123" s="14">
        <f t="shared" si="2"/>
        <v>7</v>
      </c>
      <c r="F123" s="15" t="s">
        <v>255</v>
      </c>
      <c r="G123" s="16">
        <v>73.0</v>
      </c>
      <c r="H123" s="16" t="str">
        <f>IFERROR(VLOOKUP(G123,'Costo x Articulo'!$B:$C,2,0),"")</f>
        <v>Masas de manga / masas secas</v>
      </c>
      <c r="I123" s="16"/>
      <c r="J123" s="14">
        <v>1.0</v>
      </c>
      <c r="K123" s="14">
        <f>IFERROR(VLOOKUP(G123,'Costo x Articulo'!$B:$E,4,0)*J123,0)</f>
        <v>0</v>
      </c>
      <c r="L123" s="14">
        <f>IFERROR(VLOOKUP(G123,'Costo x Articulo'!$B:$E,3,0)*J123,0)</f>
        <v>0</v>
      </c>
      <c r="M123" s="14">
        <f t="shared" si="12"/>
        <v>0</v>
      </c>
      <c r="N123" s="1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13"/>
      <c r="B124" s="14">
        <f t="shared" si="11"/>
        <v>8</v>
      </c>
      <c r="C124" s="15">
        <v>44762.0</v>
      </c>
      <c r="D124" s="14">
        <f t="shared" si="1"/>
        <v>2022</v>
      </c>
      <c r="E124" s="14">
        <f t="shared" si="2"/>
        <v>7</v>
      </c>
      <c r="F124" s="15" t="s">
        <v>256</v>
      </c>
      <c r="G124" s="16">
        <v>2.0</v>
      </c>
      <c r="H124" s="16" t="str">
        <f>IFERROR(VLOOKUP(G124,'Costo x Articulo'!$B:$C,2,0),"")</f>
        <v>Macarrons x 12 unidades</v>
      </c>
      <c r="I124" s="16"/>
      <c r="J124" s="14">
        <v>2.0</v>
      </c>
      <c r="K124" s="14">
        <f>IFERROR(VLOOKUP(G124,'Costo x Articulo'!$B:$E,4,0)*J124,0)</f>
        <v>0</v>
      </c>
      <c r="L124" s="14">
        <f>IFERROR(VLOOKUP(G124,'Costo x Articulo'!$B:$E,3,0)*J124,0)</f>
        <v>14000</v>
      </c>
      <c r="M124" s="14">
        <f t="shared" si="12"/>
        <v>14000</v>
      </c>
      <c r="N124" s="1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13"/>
      <c r="B125" s="14">
        <f t="shared" si="11"/>
        <v>9</v>
      </c>
      <c r="C125" s="15">
        <v>44765.0</v>
      </c>
      <c r="D125" s="14">
        <f t="shared" si="1"/>
        <v>2022</v>
      </c>
      <c r="E125" s="14">
        <f t="shared" si="2"/>
        <v>7</v>
      </c>
      <c r="F125" s="15" t="s">
        <v>257</v>
      </c>
      <c r="G125" s="16">
        <v>70.0</v>
      </c>
      <c r="H125" s="16" t="str">
        <f>IFERROR(VLOOKUP(G125,'Costo x Articulo'!$B:$C,2,0),"")</f>
        <v>buttercream 22 cm </v>
      </c>
      <c r="I125" s="16"/>
      <c r="J125" s="14">
        <v>1.0</v>
      </c>
      <c r="K125" s="14">
        <f>IFERROR(VLOOKUP(G125,'Costo x Articulo'!$B:$E,4,0)*J125,0)</f>
        <v>0</v>
      </c>
      <c r="L125" s="14">
        <f>IFERROR(VLOOKUP(G125,'Costo x Articulo'!$B:$E,3,0)*J125,0)</f>
        <v>40000</v>
      </c>
      <c r="M125" s="14">
        <f t="shared" si="12"/>
        <v>40000</v>
      </c>
      <c r="N125" s="1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13"/>
      <c r="B126" s="14">
        <f t="shared" si="11"/>
        <v>10</v>
      </c>
      <c r="C126" s="15">
        <v>44765.0</v>
      </c>
      <c r="D126" s="14">
        <f t="shared" si="1"/>
        <v>2022</v>
      </c>
      <c r="E126" s="14">
        <f t="shared" si="2"/>
        <v>7</v>
      </c>
      <c r="F126" s="15" t="s">
        <v>258</v>
      </c>
      <c r="G126" s="16">
        <v>28.0</v>
      </c>
      <c r="H126" s="16" t="str">
        <f>IFERROR(VLOOKUP(G126,'Costo x Articulo'!$B:$C,2,0),"")</f>
        <v>Cookies decoradas x 12u</v>
      </c>
      <c r="I126" s="16"/>
      <c r="J126" s="14">
        <v>1.0</v>
      </c>
      <c r="K126" s="14">
        <f>IFERROR(VLOOKUP(G126,'Costo x Articulo'!$B:$E,4,0)*J126,0)</f>
        <v>0</v>
      </c>
      <c r="L126" s="14">
        <f>IFERROR(VLOOKUP(G126,'Costo x Articulo'!$B:$E,3,0)*J126,0)</f>
        <v>0</v>
      </c>
      <c r="M126" s="14">
        <f t="shared" si="12"/>
        <v>0</v>
      </c>
      <c r="N126" s="1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13"/>
      <c r="B127" s="14">
        <f t="shared" si="11"/>
        <v>11</v>
      </c>
      <c r="C127" s="15">
        <v>44765.0</v>
      </c>
      <c r="D127" s="14">
        <f t="shared" si="1"/>
        <v>2022</v>
      </c>
      <c r="E127" s="14">
        <f t="shared" si="2"/>
        <v>7</v>
      </c>
      <c r="F127" s="15" t="s">
        <v>258</v>
      </c>
      <c r="G127" s="16">
        <v>74.0</v>
      </c>
      <c r="H127" s="16" t="str">
        <f>IFERROR(VLOOKUP(G127,'Costo x Articulo'!$B:$C,2,0),"")</f>
        <v>Heladitos x 6</v>
      </c>
      <c r="I127" s="16"/>
      <c r="J127" s="14">
        <v>0.5</v>
      </c>
      <c r="K127" s="14">
        <f>IFERROR(VLOOKUP(G127,'Costo x Articulo'!$B:$E,4,0)*J127,0)</f>
        <v>0</v>
      </c>
      <c r="L127" s="14">
        <f>IFERROR(VLOOKUP(G127,'Costo x Articulo'!$B:$E,3,0)*J127,0)</f>
        <v>0</v>
      </c>
      <c r="M127" s="14">
        <f t="shared" si="12"/>
        <v>0</v>
      </c>
      <c r="N127" s="1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13"/>
      <c r="B128" s="14">
        <f t="shared" si="11"/>
        <v>12</v>
      </c>
      <c r="C128" s="15">
        <v>44765.0</v>
      </c>
      <c r="D128" s="14">
        <f t="shared" si="1"/>
        <v>2022</v>
      </c>
      <c r="E128" s="14">
        <f t="shared" si="2"/>
        <v>7</v>
      </c>
      <c r="F128" s="15" t="s">
        <v>234</v>
      </c>
      <c r="G128" s="16">
        <v>3.0</v>
      </c>
      <c r="H128" s="16" t="str">
        <f>IFERROR(VLOOKUP(G128,'Costo x Articulo'!$B:$C,2,0),"")</f>
        <v>Lemon pie 24cm</v>
      </c>
      <c r="I128" s="16"/>
      <c r="J128" s="14">
        <v>1.0</v>
      </c>
      <c r="K128" s="14">
        <f>IFERROR(VLOOKUP(G128,'Costo x Articulo'!$B:$E,4,0)*J128,0)</f>
        <v>0</v>
      </c>
      <c r="L128" s="14">
        <f>IFERROR(VLOOKUP(G128,'Costo x Articulo'!$B:$E,3,0)*J128,0)</f>
        <v>16000</v>
      </c>
      <c r="M128" s="14">
        <f t="shared" si="12"/>
        <v>16000</v>
      </c>
      <c r="N128" s="1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13"/>
      <c r="B129" s="14">
        <f t="shared" si="11"/>
        <v>13</v>
      </c>
      <c r="C129" s="15">
        <v>44765.0</v>
      </c>
      <c r="D129" s="14">
        <f t="shared" si="1"/>
        <v>2022</v>
      </c>
      <c r="E129" s="14">
        <f t="shared" si="2"/>
        <v>7</v>
      </c>
      <c r="F129" s="15" t="s">
        <v>234</v>
      </c>
      <c r="G129" s="16">
        <v>75.0</v>
      </c>
      <c r="H129" s="16" t="str">
        <f>IFERROR(VLOOKUP(G129,'Costo x Articulo'!$B:$C,2,0),"")</f>
        <v>mini torta oreo VEGANA</v>
      </c>
      <c r="I129" s="16"/>
      <c r="J129" s="14">
        <v>1.0</v>
      </c>
      <c r="K129" s="14">
        <f>IFERROR(VLOOKUP(G129,'Costo x Articulo'!$B:$E,4,0)*J129,0)</f>
        <v>0</v>
      </c>
      <c r="L129" s="14">
        <f>IFERROR(VLOOKUP(G129,'Costo x Articulo'!$B:$E,3,0)*J129,0)</f>
        <v>0</v>
      </c>
      <c r="M129" s="14">
        <f t="shared" si="12"/>
        <v>0</v>
      </c>
      <c r="N129" s="1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13"/>
      <c r="B130" s="14">
        <f t="shared" si="11"/>
        <v>14</v>
      </c>
      <c r="C130" s="15">
        <v>44755.0</v>
      </c>
      <c r="D130" s="14">
        <f t="shared" si="1"/>
        <v>2022</v>
      </c>
      <c r="E130" s="14">
        <f t="shared" si="2"/>
        <v>7</v>
      </c>
      <c r="F130" s="15" t="s">
        <v>259</v>
      </c>
      <c r="G130" s="16">
        <v>24.0</v>
      </c>
      <c r="H130" s="16" t="str">
        <f>IFERROR(VLOOKUP(G130,'Costo x Articulo'!$B:$C,2,0),"")</f>
        <v>Chocotorta Redonda </v>
      </c>
      <c r="I130" s="16"/>
      <c r="J130" s="14">
        <v>1.0</v>
      </c>
      <c r="K130" s="14">
        <f>IFERROR(VLOOKUP(G130,'Costo x Articulo'!$B:$E,4,0)*J130,0)</f>
        <v>0</v>
      </c>
      <c r="L130" s="14">
        <f>IFERROR(VLOOKUP(G130,'Costo x Articulo'!$B:$E,3,0)*J130,0)</f>
        <v>0</v>
      </c>
      <c r="M130" s="14">
        <f t="shared" si="12"/>
        <v>0</v>
      </c>
      <c r="N130" s="1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13"/>
      <c r="B131" s="14">
        <f t="shared" si="11"/>
        <v>15</v>
      </c>
      <c r="C131" s="15">
        <v>44751.0</v>
      </c>
      <c r="D131" s="14">
        <f t="shared" si="1"/>
        <v>2022</v>
      </c>
      <c r="E131" s="14">
        <f t="shared" si="2"/>
        <v>7</v>
      </c>
      <c r="F131" s="15" t="s">
        <v>260</v>
      </c>
      <c r="G131" s="16">
        <v>6.0</v>
      </c>
      <c r="H131" s="16" t="str">
        <f>IFERROR(VLOOKUP(G131,'Costo x Articulo'!$B:$C,2,0),"")</f>
        <v>Torta brownie 20x20cm</v>
      </c>
      <c r="I131" s="16"/>
      <c r="J131" s="14">
        <v>1.0</v>
      </c>
      <c r="K131" s="14">
        <f>IFERROR(VLOOKUP(G131,'Costo x Articulo'!$B:$E,4,0)*J131,0)</f>
        <v>0</v>
      </c>
      <c r="L131" s="14">
        <f>IFERROR(VLOOKUP(G131,'Costo x Articulo'!$B:$E,3,0)*J131,0)</f>
        <v>20000</v>
      </c>
      <c r="M131" s="14">
        <f t="shared" si="12"/>
        <v>20000</v>
      </c>
      <c r="N131" s="1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13"/>
      <c r="B132" s="14">
        <v>16.0</v>
      </c>
      <c r="C132" s="15">
        <v>44751.0</v>
      </c>
      <c r="D132" s="14">
        <f t="shared" si="1"/>
        <v>2022</v>
      </c>
      <c r="E132" s="14">
        <f t="shared" si="2"/>
        <v>7</v>
      </c>
      <c r="F132" s="15" t="s">
        <v>260</v>
      </c>
      <c r="G132" s="16">
        <v>22.0</v>
      </c>
      <c r="H132" s="16" t="str">
        <f>IFERROR(VLOOKUP(G132,'Costo x Articulo'!$B:$C,2,0),"")</f>
        <v>Alfajor Maicena</v>
      </c>
      <c r="I132" s="16"/>
      <c r="J132" s="14">
        <v>1.0</v>
      </c>
      <c r="K132" s="14">
        <f>IFERROR(VLOOKUP(G132,'Costo x Articulo'!$B:$E,4,0)*J132,0)</f>
        <v>0</v>
      </c>
      <c r="L132" s="14">
        <f>IFERROR(VLOOKUP(G132,'Costo x Articulo'!$B:$E,3,0)*J132,0)</f>
        <v>0</v>
      </c>
      <c r="M132" s="14">
        <f t="shared" si="12"/>
        <v>0</v>
      </c>
      <c r="N132" s="1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13"/>
      <c r="B133" s="14">
        <v>17.0</v>
      </c>
      <c r="C133" s="15">
        <v>44751.0</v>
      </c>
      <c r="D133" s="14">
        <f t="shared" si="1"/>
        <v>2022</v>
      </c>
      <c r="E133" s="14">
        <f t="shared" si="2"/>
        <v>7</v>
      </c>
      <c r="F133" s="15" t="s">
        <v>260</v>
      </c>
      <c r="G133" s="16">
        <v>29.0</v>
      </c>
      <c r="H133" s="16" t="str">
        <f>IFERROR(VLOOKUP(G133,'Costo x Articulo'!$B:$C,2,0),"")</f>
        <v>Chipa 1/2 kg</v>
      </c>
      <c r="I133" s="16"/>
      <c r="J133" s="14">
        <f>1+1/4</f>
        <v>1.25</v>
      </c>
      <c r="K133" s="14">
        <f>IFERROR(VLOOKUP(G133,'Costo x Articulo'!$B:$E,4,0)*J133,0)</f>
        <v>0</v>
      </c>
      <c r="L133" s="14">
        <f>IFERROR(VLOOKUP(G133,'Costo x Articulo'!$B:$E,3,0)*J133,0)</f>
        <v>0</v>
      </c>
      <c r="M133" s="14">
        <f t="shared" si="12"/>
        <v>0</v>
      </c>
      <c r="N133" s="1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2.75" customHeight="1">
      <c r="A134" s="2"/>
      <c r="B134" s="14">
        <v>18.0</v>
      </c>
      <c r="C134" s="15">
        <v>44759.0</v>
      </c>
      <c r="D134" s="14">
        <f t="shared" si="1"/>
        <v>2022</v>
      </c>
      <c r="E134" s="14">
        <f t="shared" si="2"/>
        <v>7</v>
      </c>
      <c r="F134" s="15" t="s">
        <v>261</v>
      </c>
      <c r="G134" s="16">
        <v>42.0</v>
      </c>
      <c r="H134" s="16" t="str">
        <f>IFERROR(VLOOKUP(G134,'Costo x Articulo'!$B:$C,2,0),"")</f>
        <v>Cheescake 22cm</v>
      </c>
      <c r="I134" s="16"/>
      <c r="J134" s="14">
        <v>1.0</v>
      </c>
      <c r="K134" s="14">
        <f>IFERROR(VLOOKUP(G134,'Costo x Articulo'!$B:$E,4,0)*J134,0)</f>
        <v>0</v>
      </c>
      <c r="L134" s="14">
        <f>IFERROR(VLOOKUP(G134,'Costo x Articulo'!$B:$E,3,0)*J134,0)</f>
        <v>20000</v>
      </c>
      <c r="M134" s="14">
        <f t="shared" si="12"/>
        <v>20000</v>
      </c>
      <c r="N134" s="1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2.75" customHeight="1">
      <c r="A135" s="2"/>
      <c r="B135" s="14">
        <v>19.0</v>
      </c>
      <c r="C135" s="15">
        <v>44759.0</v>
      </c>
      <c r="D135" s="14">
        <f t="shared" si="1"/>
        <v>2022</v>
      </c>
      <c r="E135" s="14">
        <f t="shared" si="2"/>
        <v>7</v>
      </c>
      <c r="F135" s="15" t="s">
        <v>261</v>
      </c>
      <c r="G135" s="16">
        <v>14.0</v>
      </c>
      <c r="H135" s="16" t="str">
        <f>IFERROR(VLOOKUP(G135,'Costo x Articulo'!$B:$C,2,0),"")</f>
        <v>Tiramisu</v>
      </c>
      <c r="I135" s="16"/>
      <c r="J135" s="14">
        <v>1.0</v>
      </c>
      <c r="K135" s="14">
        <f>IFERROR(VLOOKUP(G135,'Costo x Articulo'!$B:$E,4,0)*J135,0)</f>
        <v>0</v>
      </c>
      <c r="L135" s="14">
        <f>IFERROR(VLOOKUP(G135,'Costo x Articulo'!$B:$E,3,0)*J135,0)</f>
        <v>0</v>
      </c>
      <c r="M135" s="14">
        <f t="shared" si="12"/>
        <v>0</v>
      </c>
      <c r="N135" s="1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2.75" customHeight="1">
      <c r="A136" s="2"/>
      <c r="B136" s="14">
        <v>20.0</v>
      </c>
      <c r="C136" s="15">
        <v>44744.0</v>
      </c>
      <c r="D136" s="14">
        <f t="shared" si="1"/>
        <v>2022</v>
      </c>
      <c r="E136" s="14">
        <f t="shared" si="2"/>
        <v>7</v>
      </c>
      <c r="F136" s="15" t="s">
        <v>262</v>
      </c>
      <c r="G136" s="16">
        <v>53.0</v>
      </c>
      <c r="H136" s="16" t="str">
        <f>IFERROR(VLOOKUP(G136,'Costo x Articulo'!$B:$C,2,0),"")</f>
        <v>Torta brownie 20cm frutos rojos</v>
      </c>
      <c r="I136" s="16"/>
      <c r="J136" s="14">
        <v>1.0</v>
      </c>
      <c r="K136" s="14">
        <f>IFERROR(VLOOKUP(G136,'Costo x Articulo'!$B:$E,4,0)*J136,0)</f>
        <v>0</v>
      </c>
      <c r="L136" s="14">
        <f>IFERROR(VLOOKUP(G136,'Costo x Articulo'!$B:$E,3,0)*J136,0)</f>
        <v>0</v>
      </c>
      <c r="M136" s="14">
        <f t="shared" si="12"/>
        <v>0</v>
      </c>
      <c r="N136" s="1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2.75" customHeight="1">
      <c r="A137" s="2"/>
      <c r="B137" s="14">
        <v>21.0</v>
      </c>
      <c r="C137" s="15">
        <v>44768.0</v>
      </c>
      <c r="D137" s="14">
        <f t="shared" si="1"/>
        <v>2022</v>
      </c>
      <c r="E137" s="14">
        <f t="shared" si="2"/>
        <v>7</v>
      </c>
      <c r="F137" s="15" t="s">
        <v>263</v>
      </c>
      <c r="G137" s="16">
        <v>35.0</v>
      </c>
      <c r="H137" s="16" t="str">
        <f>IFERROR(VLOOKUP(G137,'Costo x Articulo'!$B:$C,2,0),"")</f>
        <v>desayuno completo</v>
      </c>
      <c r="I137" s="16"/>
      <c r="J137" s="14">
        <v>1.0</v>
      </c>
      <c r="K137" s="14">
        <f>IFERROR(VLOOKUP(G137,'Costo x Articulo'!$B:$E,4,0)*J137,0)</f>
        <v>0</v>
      </c>
      <c r="L137" s="14">
        <f>IFERROR(VLOOKUP(G137,'Costo x Articulo'!$B:$E,3,0)*J137,0)</f>
        <v>0</v>
      </c>
      <c r="M137" s="14">
        <f t="shared" si="12"/>
        <v>0</v>
      </c>
      <c r="N137" s="16" t="s">
        <v>264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2.75" customHeight="1">
      <c r="A138" s="2"/>
      <c r="B138" s="14">
        <v>22.0</v>
      </c>
      <c r="C138" s="15">
        <v>44768.0</v>
      </c>
      <c r="D138" s="24">
        <f t="shared" si="1"/>
        <v>2022</v>
      </c>
      <c r="E138" s="24">
        <f t="shared" si="2"/>
        <v>7</v>
      </c>
      <c r="F138" s="15" t="s">
        <v>265</v>
      </c>
      <c r="G138" s="16">
        <v>54.0</v>
      </c>
      <c r="H138" s="16" t="str">
        <f>IFERROR(VLOOKUP(G138,'Costo x Articulo'!$B:$C,2,0),"")</f>
        <v>Number Cake 1 número </v>
      </c>
      <c r="I138" s="16"/>
      <c r="J138" s="14">
        <v>1.0</v>
      </c>
      <c r="K138" s="14">
        <f>IFERROR(VLOOKUP(G138,'Costo x Articulo'!$B:$E,4,0)*J138,0)</f>
        <v>0</v>
      </c>
      <c r="L138" s="14">
        <f>IFERROR(VLOOKUP(G138,'Costo x Articulo'!$B:$E,3,0)*J138,0)</f>
        <v>0</v>
      </c>
      <c r="M138" s="14">
        <f t="shared" si="12"/>
        <v>0</v>
      </c>
      <c r="N138" s="16" t="s">
        <v>264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2.75" customHeight="1">
      <c r="A139" s="2"/>
      <c r="B139" s="14">
        <v>23.0</v>
      </c>
      <c r="C139" s="15">
        <v>44768.0</v>
      </c>
      <c r="D139" s="25">
        <f t="shared" si="1"/>
        <v>2022</v>
      </c>
      <c r="E139" s="25">
        <f t="shared" si="2"/>
        <v>7</v>
      </c>
      <c r="F139" s="15" t="s">
        <v>179</v>
      </c>
      <c r="G139" s="16">
        <v>1.0</v>
      </c>
      <c r="H139" s="16" t="str">
        <f>IFERROR(VLOOKUP(G139,'Costo x Articulo'!$B:$C,2,0),"")</f>
        <v>Budín de limón</v>
      </c>
      <c r="I139" s="16"/>
      <c r="J139" s="14">
        <v>3.0</v>
      </c>
      <c r="K139" s="14">
        <f>IFERROR(VLOOKUP(G139,'Costo x Articulo'!$B:$E,4,0)*J139,0)</f>
        <v>0</v>
      </c>
      <c r="L139" s="14">
        <f>IFERROR(VLOOKUP(G139,'Costo x Articulo'!$B:$E,3,0)*J139,0)</f>
        <v>30000</v>
      </c>
      <c r="M139" s="14">
        <f t="shared" si="12"/>
        <v>30000</v>
      </c>
      <c r="N139" s="1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2.75" customHeight="1">
      <c r="A140" s="2"/>
      <c r="B140" s="14">
        <v>23.0</v>
      </c>
      <c r="C140" s="15">
        <v>44768.0</v>
      </c>
      <c r="D140" s="25">
        <f t="shared" si="1"/>
        <v>2022</v>
      </c>
      <c r="E140" s="25">
        <f t="shared" si="2"/>
        <v>7</v>
      </c>
      <c r="F140" s="26" t="s">
        <v>179</v>
      </c>
      <c r="G140" s="16">
        <v>8.0</v>
      </c>
      <c r="H140" s="16" t="str">
        <f>IFERROR(VLOOKUP(G140,'Costo x Articulo'!$B:$C,2,0),"")</f>
        <v>Bombas De DDL</v>
      </c>
      <c r="I140" s="16"/>
      <c r="J140" s="14">
        <v>1.0</v>
      </c>
      <c r="K140" s="14">
        <f>IFERROR(VLOOKUP(G140,'Costo x Articulo'!$B:$E,4,0)*J140,0)</f>
        <v>0</v>
      </c>
      <c r="L140" s="14">
        <f>IFERROR(VLOOKUP(G140,'Costo x Articulo'!$B:$E,3,0)*J140,0)</f>
        <v>0</v>
      </c>
      <c r="M140" s="14">
        <f t="shared" si="12"/>
        <v>0</v>
      </c>
      <c r="N140" s="16" t="s">
        <v>266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2.75" customHeight="1">
      <c r="A141" s="2"/>
      <c r="B141" s="19">
        <v>24.0</v>
      </c>
      <c r="C141" s="20">
        <v>44800.0</v>
      </c>
      <c r="D141" s="27">
        <f t="shared" si="1"/>
        <v>2022</v>
      </c>
      <c r="E141" s="27">
        <f t="shared" si="2"/>
        <v>8</v>
      </c>
      <c r="F141" s="20" t="s">
        <v>267</v>
      </c>
      <c r="G141" s="28">
        <v>77.0</v>
      </c>
      <c r="H141" s="28" t="str">
        <f>IFERROR(VLOOKUP(G141,'Costo x Articulo'!$B:$C,2,0),"")</f>
        <v>cookies chips de chocolate  12</v>
      </c>
      <c r="I141" s="28" t="s">
        <v>252</v>
      </c>
      <c r="J141" s="19">
        <v>1.0</v>
      </c>
      <c r="K141" s="19">
        <f>IFERROR(VLOOKUP(G141,'Costo x Articulo'!$B:$E,4,0)*J141,0)</f>
        <v>0</v>
      </c>
      <c r="L141" s="19">
        <f>IFERROR(VLOOKUP(G141,'Costo x Articulo'!$B:$E,3,0)*J141,0)</f>
        <v>0</v>
      </c>
      <c r="M141" s="19">
        <f t="shared" si="12"/>
        <v>0</v>
      </c>
      <c r="N141" s="28" t="s">
        <v>199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2.75" customHeight="1">
      <c r="A142" s="2"/>
      <c r="B142" s="19">
        <v>24.0</v>
      </c>
      <c r="C142" s="20">
        <v>44800.0</v>
      </c>
      <c r="D142" s="27">
        <f t="shared" si="1"/>
        <v>2022</v>
      </c>
      <c r="E142" s="27">
        <f t="shared" si="2"/>
        <v>8</v>
      </c>
      <c r="F142" s="20" t="s">
        <v>267</v>
      </c>
      <c r="G142" s="28">
        <v>74.0</v>
      </c>
      <c r="H142" s="28" t="str">
        <f>IFERROR(VLOOKUP(G142,'Costo x Articulo'!$B:$C,2,0),"")</f>
        <v>Heladitos x 6</v>
      </c>
      <c r="I142" s="28" t="s">
        <v>252</v>
      </c>
      <c r="J142" s="19">
        <v>4.0</v>
      </c>
      <c r="K142" s="19">
        <f>IFERROR(VLOOKUP(G142,'Costo x Articulo'!$B:$E,4,0)*J142,0)</f>
        <v>0</v>
      </c>
      <c r="L142" s="19">
        <f>IFERROR(VLOOKUP(G142,'Costo x Articulo'!$B:$E,3,0)*J142,0)</f>
        <v>0</v>
      </c>
      <c r="M142" s="19">
        <f t="shared" si="12"/>
        <v>0</v>
      </c>
      <c r="N142" s="28" t="s">
        <v>199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2.75" customHeight="1">
      <c r="A143" s="2"/>
      <c r="B143" s="19">
        <v>24.0</v>
      </c>
      <c r="C143" s="20">
        <v>44800.0</v>
      </c>
      <c r="D143" s="27">
        <f t="shared" si="1"/>
        <v>2022</v>
      </c>
      <c r="E143" s="27">
        <f t="shared" si="2"/>
        <v>8</v>
      </c>
      <c r="F143" s="20" t="s">
        <v>267</v>
      </c>
      <c r="G143" s="28">
        <v>28.0</v>
      </c>
      <c r="H143" s="28" t="str">
        <f>IFERROR(VLOOKUP(G143,'Costo x Articulo'!$B:$C,2,0),"")</f>
        <v>Cookies decoradas x 12u</v>
      </c>
      <c r="I143" s="28" t="s">
        <v>252</v>
      </c>
      <c r="J143" s="19">
        <v>1.0</v>
      </c>
      <c r="K143" s="19">
        <f>IFERROR(VLOOKUP(G143,'Costo x Articulo'!$B:$E,4,0)*J143,0)</f>
        <v>0</v>
      </c>
      <c r="L143" s="19">
        <f>IFERROR(VLOOKUP(G143,'Costo x Articulo'!$B:$E,3,0)*J143,0)</f>
        <v>0</v>
      </c>
      <c r="M143" s="19">
        <f t="shared" si="12"/>
        <v>0</v>
      </c>
      <c r="N143" s="28" t="s">
        <v>199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2.75" customHeight="1">
      <c r="A144" s="2"/>
      <c r="B144" s="19">
        <v>24.0</v>
      </c>
      <c r="C144" s="20">
        <v>44800.0</v>
      </c>
      <c r="D144" s="27">
        <f t="shared" si="1"/>
        <v>2022</v>
      </c>
      <c r="E144" s="27">
        <f t="shared" si="2"/>
        <v>8</v>
      </c>
      <c r="F144" s="20" t="s">
        <v>267</v>
      </c>
      <c r="G144" s="28">
        <v>70.0</v>
      </c>
      <c r="H144" s="28" t="str">
        <f>IFERROR(VLOOKUP(G144,'Costo x Articulo'!$B:$C,2,0),"")</f>
        <v>buttercream 22 cm </v>
      </c>
      <c r="I144" s="28" t="s">
        <v>268</v>
      </c>
      <c r="J144" s="19">
        <v>1.0</v>
      </c>
      <c r="K144" s="19">
        <f>IFERROR(VLOOKUP(G144,'Costo x Articulo'!$B:$E,4,0)*J144,0)</f>
        <v>0</v>
      </c>
      <c r="L144" s="19">
        <f>IFERROR(VLOOKUP(G144,'Costo x Articulo'!$B:$E,3,0)*J144,0)</f>
        <v>40000</v>
      </c>
      <c r="M144" s="19">
        <f t="shared" si="12"/>
        <v>40000</v>
      </c>
      <c r="N144" s="28" t="s">
        <v>199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2.75" customHeight="1">
      <c r="A145" s="2"/>
      <c r="B145" s="19">
        <v>24.0</v>
      </c>
      <c r="C145" s="20">
        <v>44800.0</v>
      </c>
      <c r="D145" s="27">
        <f t="shared" si="1"/>
        <v>2022</v>
      </c>
      <c r="E145" s="27">
        <f t="shared" si="2"/>
        <v>8</v>
      </c>
      <c r="F145" s="20" t="s">
        <v>267</v>
      </c>
      <c r="G145" s="28">
        <v>24.0</v>
      </c>
      <c r="H145" s="28" t="str">
        <f>IFERROR(VLOOKUP(G145,'Costo x Articulo'!$B:$C,2,0),"")</f>
        <v>Chocotorta Redonda </v>
      </c>
      <c r="I145" s="28" t="s">
        <v>269</v>
      </c>
      <c r="J145" s="19">
        <v>1.0</v>
      </c>
      <c r="K145" s="19">
        <f>IFERROR(VLOOKUP(G145,'Costo x Articulo'!$B:$E,4,0)*J145,0)</f>
        <v>0</v>
      </c>
      <c r="L145" s="19">
        <f>IFERROR(VLOOKUP(G145,'Costo x Articulo'!$B:$E,3,0)*J145,0)</f>
        <v>0</v>
      </c>
      <c r="M145" s="19">
        <f t="shared" si="12"/>
        <v>0</v>
      </c>
      <c r="N145" s="28" t="s">
        <v>199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2.75" customHeight="1">
      <c r="A146" s="2"/>
      <c r="B146" s="14">
        <v>25.0</v>
      </c>
      <c r="C146" s="15">
        <v>44771.0</v>
      </c>
      <c r="D146" s="25">
        <f t="shared" si="1"/>
        <v>2022</v>
      </c>
      <c r="E146" s="25">
        <f t="shared" si="2"/>
        <v>7</v>
      </c>
      <c r="F146" s="15" t="s">
        <v>270</v>
      </c>
      <c r="G146" s="16">
        <v>29.0</v>
      </c>
      <c r="H146" s="16" t="str">
        <f>IFERROR(VLOOKUP(G146,'Costo x Articulo'!$B:$C,2,0),"")</f>
        <v>Chipa 1/2 kg</v>
      </c>
      <c r="I146" s="16"/>
      <c r="J146" s="14">
        <v>1.0</v>
      </c>
      <c r="K146" s="14">
        <f>IFERROR(VLOOKUP(G146,'Costo x Articulo'!$B:$E,4,0)*J146,0)</f>
        <v>0</v>
      </c>
      <c r="L146" s="14">
        <f>IFERROR(VLOOKUP(G146,'Costo x Articulo'!$B:$E,3,0)*J146,0)</f>
        <v>0</v>
      </c>
      <c r="M146" s="14">
        <f t="shared" si="12"/>
        <v>0</v>
      </c>
      <c r="N146" s="16" t="s">
        <v>215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2.75" customHeight="1">
      <c r="A147" s="2"/>
      <c r="B147" s="14">
        <v>25.0</v>
      </c>
      <c r="C147" s="15">
        <v>44771.0</v>
      </c>
      <c r="D147" s="25">
        <f t="shared" si="1"/>
        <v>2022</v>
      </c>
      <c r="E147" s="25">
        <f t="shared" si="2"/>
        <v>7</v>
      </c>
      <c r="F147" s="15" t="s">
        <v>270</v>
      </c>
      <c r="G147" s="16">
        <v>52.0</v>
      </c>
      <c r="H147" s="16" t="str">
        <f>IFERROR(VLOOKUP(G147,'Costo x Articulo'!$B:$C,2,0),"")</f>
        <v>Mini Budin (redondo) citricio </v>
      </c>
      <c r="I147" s="16" t="s">
        <v>271</v>
      </c>
      <c r="J147" s="14">
        <v>2.0</v>
      </c>
      <c r="K147" s="14">
        <f>IFERROR(VLOOKUP(G147,'Costo x Articulo'!$B:$E,4,0)*J147,0)</f>
        <v>0</v>
      </c>
      <c r="L147" s="14">
        <f>IFERROR(VLOOKUP(G147,'Costo x Articulo'!$B:$E,3,0)*J147,0)</f>
        <v>0</v>
      </c>
      <c r="M147" s="14">
        <f t="shared" si="12"/>
        <v>0</v>
      </c>
      <c r="N147" s="16" t="s">
        <v>215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2.75" customHeight="1">
      <c r="A148" s="2"/>
      <c r="B148" s="14">
        <v>26.0</v>
      </c>
      <c r="C148" s="15">
        <v>44772.0</v>
      </c>
      <c r="D148" s="25">
        <f t="shared" si="1"/>
        <v>2022</v>
      </c>
      <c r="E148" s="25">
        <f t="shared" si="2"/>
        <v>7</v>
      </c>
      <c r="F148" s="15" t="s">
        <v>272</v>
      </c>
      <c r="G148" s="16">
        <v>76.0</v>
      </c>
      <c r="H148" s="16" t="str">
        <f>IFERROR(VLOOKUP(G148,'Costo x Articulo'!$B:$C,2,0),"")</f>
        <v>muffins decorados con pasta </v>
      </c>
      <c r="I148" s="16" t="s">
        <v>273</v>
      </c>
      <c r="J148" s="14">
        <v>1.0</v>
      </c>
      <c r="K148" s="14">
        <f>IFERROR(VLOOKUP(G148,'Costo x Articulo'!$B:$E,4,0)*J148,0)</f>
        <v>0</v>
      </c>
      <c r="L148" s="14">
        <f>IFERROR(VLOOKUP(G148,'Costo x Articulo'!$B:$E,3,0)*J148,0)</f>
        <v>0</v>
      </c>
      <c r="M148" s="14">
        <f t="shared" si="12"/>
        <v>0</v>
      </c>
      <c r="N148" s="1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2.75" customHeight="1">
      <c r="A149" s="2"/>
      <c r="B149" s="14">
        <v>27.0</v>
      </c>
      <c r="C149" s="15">
        <v>44764.0</v>
      </c>
      <c r="D149" s="25">
        <f t="shared" si="1"/>
        <v>2022</v>
      </c>
      <c r="E149" s="25">
        <f t="shared" si="2"/>
        <v>7</v>
      </c>
      <c r="F149" s="15" t="s">
        <v>274</v>
      </c>
      <c r="G149" s="16">
        <v>3.0</v>
      </c>
      <c r="H149" s="16" t="str">
        <f>IFERROR(VLOOKUP(G149,'Costo x Articulo'!$B:$C,2,0),"")</f>
        <v>Lemon pie 24cm</v>
      </c>
      <c r="I149" s="16"/>
      <c r="J149" s="14">
        <v>1.0</v>
      </c>
      <c r="K149" s="14">
        <f>IFERROR(VLOOKUP(G149,'Costo x Articulo'!$B:$E,4,0)*J149,0)</f>
        <v>0</v>
      </c>
      <c r="L149" s="14">
        <f>IFERROR(VLOOKUP(G149,'Costo x Articulo'!$B:$E,3,0)*J149,0)</f>
        <v>16000</v>
      </c>
      <c r="M149" s="14">
        <f t="shared" si="12"/>
        <v>16000</v>
      </c>
      <c r="N149" s="1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2.75" customHeight="1">
      <c r="A150" s="2"/>
      <c r="B150" s="14">
        <v>28.0</v>
      </c>
      <c r="C150" s="15">
        <v>44775.0</v>
      </c>
      <c r="D150" s="25">
        <f t="shared" si="1"/>
        <v>2022</v>
      </c>
      <c r="E150" s="25">
        <f t="shared" si="2"/>
        <v>8</v>
      </c>
      <c r="F150" s="15" t="s">
        <v>275</v>
      </c>
      <c r="G150" s="16">
        <v>72.0</v>
      </c>
      <c r="H150" s="16" t="str">
        <f>IFERROR(VLOOKUP(G150,'Costo x Articulo'!$B:$C,2,0),"")</f>
        <v>Carrot Cake 22cm</v>
      </c>
      <c r="I150" s="16" t="s">
        <v>30</v>
      </c>
      <c r="J150" s="14">
        <v>1.0</v>
      </c>
      <c r="K150" s="14">
        <f>IFERROR(VLOOKUP(G150,'Costo x Articulo'!$B:$E,4,0)*J150,0)</f>
        <v>0</v>
      </c>
      <c r="L150" s="14">
        <f>IFERROR(VLOOKUP(G150,'Costo x Articulo'!$B:$E,3,0)*J150,0)</f>
        <v>13000</v>
      </c>
      <c r="M150" s="14">
        <f t="shared" si="12"/>
        <v>13000</v>
      </c>
      <c r="N150" s="1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2.75" customHeight="1">
      <c r="A151" s="2"/>
      <c r="B151" s="14">
        <v>29.0</v>
      </c>
      <c r="C151" s="15">
        <v>44778.0</v>
      </c>
      <c r="D151" s="25">
        <f t="shared" si="1"/>
        <v>2022</v>
      </c>
      <c r="E151" s="25">
        <f t="shared" si="2"/>
        <v>8</v>
      </c>
      <c r="F151" s="15" t="s">
        <v>276</v>
      </c>
      <c r="G151" s="16">
        <v>35.0</v>
      </c>
      <c r="H151" s="16" t="str">
        <f>IFERROR(VLOOKUP(G151,'Costo x Articulo'!$B:$C,2,0),"")</f>
        <v>desayuno completo</v>
      </c>
      <c r="I151" s="16">
        <v>-500.0</v>
      </c>
      <c r="J151" s="14">
        <v>1.0</v>
      </c>
      <c r="K151" s="14">
        <f>IFERROR(VLOOKUP(G151,'Costo x Articulo'!$B:$E,4,0)*J151,0)</f>
        <v>0</v>
      </c>
      <c r="L151" s="14">
        <f>IFERROR(VLOOKUP(G151,'Costo x Articulo'!$B:$E,3,0)*J151,0)</f>
        <v>0</v>
      </c>
      <c r="M151" s="14">
        <f t="shared" si="12"/>
        <v>0</v>
      </c>
      <c r="N151" s="1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2.75" customHeight="1">
      <c r="A152" s="2"/>
      <c r="B152" s="14">
        <v>30.0</v>
      </c>
      <c r="C152" s="15">
        <v>44778.0</v>
      </c>
      <c r="D152" s="25">
        <f t="shared" si="1"/>
        <v>2022</v>
      </c>
      <c r="E152" s="25">
        <f t="shared" si="2"/>
        <v>8</v>
      </c>
      <c r="F152" s="15" t="s">
        <v>277</v>
      </c>
      <c r="G152" s="16">
        <v>28.0</v>
      </c>
      <c r="H152" s="16" t="str">
        <f>IFERROR(VLOOKUP(G152,'Costo x Articulo'!$B:$C,2,0),"")</f>
        <v>Cookies decoradas x 12u</v>
      </c>
      <c r="I152" s="16" t="s">
        <v>278</v>
      </c>
      <c r="J152" s="14">
        <v>2.0</v>
      </c>
      <c r="K152" s="14">
        <f>IFERROR(VLOOKUP(G152,'Costo x Articulo'!$B:$E,4,0)*J152,0)</f>
        <v>0</v>
      </c>
      <c r="L152" s="14">
        <f>IFERROR(VLOOKUP(G152,'Costo x Articulo'!$B:$E,3,0)*J152,0)</f>
        <v>0</v>
      </c>
      <c r="M152" s="14">
        <f t="shared" si="12"/>
        <v>0</v>
      </c>
      <c r="N152" s="1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2.75" customHeight="1">
      <c r="A153" s="2"/>
      <c r="B153" s="14">
        <v>31.0</v>
      </c>
      <c r="C153" s="15">
        <v>44779.0</v>
      </c>
      <c r="D153" s="25">
        <f t="shared" si="1"/>
        <v>2022</v>
      </c>
      <c r="E153" s="25">
        <f t="shared" si="2"/>
        <v>8</v>
      </c>
      <c r="F153" s="15" t="s">
        <v>279</v>
      </c>
      <c r="G153" s="16">
        <v>78.0</v>
      </c>
      <c r="H153" s="16" t="str">
        <f>IFERROR(VLOOKUP(G153,'Costo x Articulo'!$B:$C,2,0),"")</f>
        <v>DESAYUNO MINI TORTA </v>
      </c>
      <c r="I153" s="16"/>
      <c r="J153" s="14">
        <v>1.0</v>
      </c>
      <c r="K153" s="14">
        <f>IFERROR(VLOOKUP(G153,'Costo x Articulo'!$B:$E,4,0)*J153,0)</f>
        <v>0</v>
      </c>
      <c r="L153" s="14">
        <f>IFERROR(VLOOKUP(G153,'Costo x Articulo'!$B:$E,3,0)*J153,0)</f>
        <v>0</v>
      </c>
      <c r="M153" s="14">
        <f t="shared" si="12"/>
        <v>0</v>
      </c>
      <c r="N153" s="1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2.75" customHeight="1">
      <c r="A154" s="2"/>
      <c r="B154" s="14">
        <v>32.0</v>
      </c>
      <c r="C154" s="15">
        <v>44779.0</v>
      </c>
      <c r="D154" s="25">
        <f t="shared" si="1"/>
        <v>2022</v>
      </c>
      <c r="E154" s="25">
        <f t="shared" si="2"/>
        <v>8</v>
      </c>
      <c r="F154" s="15" t="s">
        <v>159</v>
      </c>
      <c r="G154" s="16">
        <v>43.0</v>
      </c>
      <c r="H154" s="16" t="str">
        <f>IFERROR(VLOOKUP(G154,'Costo x Articulo'!$B:$C,2,0),"")</f>
        <v>desayuno opcion 3</v>
      </c>
      <c r="I154" s="16"/>
      <c r="J154" s="14">
        <v>1.0</v>
      </c>
      <c r="K154" s="14">
        <f>IFERROR(VLOOKUP(G154,'Costo x Articulo'!$B:$E,4,0)*J154,0)</f>
        <v>0</v>
      </c>
      <c r="L154" s="14">
        <f>IFERROR(VLOOKUP(G154,'Costo x Articulo'!$B:$E,3,0)*J154,0)</f>
        <v>0</v>
      </c>
      <c r="M154" s="14">
        <f t="shared" si="12"/>
        <v>0</v>
      </c>
      <c r="N154" s="1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2.75" customHeight="1">
      <c r="A155" s="2"/>
      <c r="B155" s="14">
        <v>33.0</v>
      </c>
      <c r="C155" s="15">
        <v>44779.0</v>
      </c>
      <c r="D155" s="25">
        <f t="shared" si="1"/>
        <v>2022</v>
      </c>
      <c r="E155" s="25">
        <f t="shared" si="2"/>
        <v>8</v>
      </c>
      <c r="F155" s="15" t="s">
        <v>159</v>
      </c>
      <c r="G155" s="16">
        <v>43.0</v>
      </c>
      <c r="H155" s="16" t="str">
        <f>IFERROR(VLOOKUP(G155,'Costo x Articulo'!$B:$C,2,0),"")</f>
        <v>desayuno opcion 3</v>
      </c>
      <c r="I155" s="16"/>
      <c r="J155" s="14">
        <v>1.0</v>
      </c>
      <c r="K155" s="14">
        <f>IFERROR(VLOOKUP(G155,'Costo x Articulo'!$B:$E,4,0)*J155,0)</f>
        <v>0</v>
      </c>
      <c r="L155" s="14">
        <f>IFERROR(VLOOKUP(G155,'Costo x Articulo'!$B:$E,3,0)*J155,0)</f>
        <v>0</v>
      </c>
      <c r="M155" s="14">
        <f t="shared" si="12"/>
        <v>0</v>
      </c>
      <c r="N155" s="1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2.75" customHeight="1">
      <c r="A156" s="2"/>
      <c r="B156" s="14">
        <v>34.0</v>
      </c>
      <c r="C156" s="15">
        <v>44781.0</v>
      </c>
      <c r="D156" s="25">
        <f t="shared" si="1"/>
        <v>2022</v>
      </c>
      <c r="E156" s="25">
        <f t="shared" si="2"/>
        <v>8</v>
      </c>
      <c r="F156" s="15" t="s">
        <v>159</v>
      </c>
      <c r="G156" s="16">
        <v>35.0</v>
      </c>
      <c r="H156" s="16" t="str">
        <f>IFERROR(VLOOKUP(G156,'Costo x Articulo'!$B:$C,2,0),"")</f>
        <v>desayuno completo</v>
      </c>
      <c r="I156" s="16" t="s">
        <v>280</v>
      </c>
      <c r="J156" s="14">
        <v>1.0</v>
      </c>
      <c r="K156" s="14">
        <f>IFERROR(VLOOKUP(G156,'Costo x Articulo'!$B:$E,4,0)*J156,0)</f>
        <v>0</v>
      </c>
      <c r="L156" s="14">
        <f>IFERROR(VLOOKUP(G156,'Costo x Articulo'!$B:$E,3,0)*J156,0)</f>
        <v>0</v>
      </c>
      <c r="M156" s="14">
        <f t="shared" si="12"/>
        <v>0</v>
      </c>
      <c r="N156" s="1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2.75" customHeight="1">
      <c r="A157" s="2"/>
      <c r="B157" s="14">
        <v>35.0</v>
      </c>
      <c r="C157" s="15">
        <v>44792.0</v>
      </c>
      <c r="D157" s="25">
        <f t="shared" si="1"/>
        <v>2022</v>
      </c>
      <c r="E157" s="25">
        <f t="shared" si="2"/>
        <v>8</v>
      </c>
      <c r="F157" s="15" t="s">
        <v>281</v>
      </c>
      <c r="G157" s="16">
        <v>60.0</v>
      </c>
      <c r="H157" s="16" t="str">
        <f>IFERROR(VLOOKUP(G157,'Costo x Articulo'!$B:$C,2,0),"")</f>
        <v>Drip Cake 16 Cm</v>
      </c>
      <c r="I157" s="16" t="s">
        <v>282</v>
      </c>
      <c r="J157" s="14">
        <v>1.0</v>
      </c>
      <c r="K157" s="14">
        <f>IFERROR(VLOOKUP(G157,'Costo x Articulo'!$B:$E,4,0)*J157,0)</f>
        <v>0</v>
      </c>
      <c r="L157" s="14">
        <f>IFERROR(VLOOKUP(G157,'Costo x Articulo'!$B:$E,3,0)*J157,0)</f>
        <v>0</v>
      </c>
      <c r="M157" s="14">
        <f t="shared" si="12"/>
        <v>0</v>
      </c>
      <c r="N157" s="16" t="s">
        <v>215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2.75" customHeight="1">
      <c r="A158" s="2"/>
      <c r="B158" s="14">
        <v>36.0</v>
      </c>
      <c r="C158" s="15">
        <v>44793.0</v>
      </c>
      <c r="D158" s="25">
        <f t="shared" si="1"/>
        <v>2022</v>
      </c>
      <c r="E158" s="25">
        <f t="shared" si="2"/>
        <v>8</v>
      </c>
      <c r="F158" s="15" t="s">
        <v>283</v>
      </c>
      <c r="G158" s="16">
        <v>6.0</v>
      </c>
      <c r="H158" s="16" t="str">
        <f>IFERROR(VLOOKUP(G158,'Costo x Articulo'!$B:$C,2,0),"")</f>
        <v>Torta brownie 20x20cm</v>
      </c>
      <c r="I158" s="16" t="s">
        <v>284</v>
      </c>
      <c r="J158" s="14">
        <v>1.0</v>
      </c>
      <c r="K158" s="14">
        <f>IFERROR(VLOOKUP(G158,'Costo x Articulo'!$B:$E,4,0)*J158,0)</f>
        <v>0</v>
      </c>
      <c r="L158" s="14">
        <f>IFERROR(VLOOKUP(G158,'Costo x Articulo'!$B:$E,3,0)*J158,0)</f>
        <v>20000</v>
      </c>
      <c r="M158" s="14">
        <f t="shared" si="12"/>
        <v>20000</v>
      </c>
      <c r="N158" s="16" t="s">
        <v>285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2.75" customHeight="1">
      <c r="A159" s="2"/>
      <c r="B159" s="14">
        <v>37.0</v>
      </c>
      <c r="C159" s="15">
        <v>44794.0</v>
      </c>
      <c r="D159" s="25">
        <f t="shared" si="1"/>
        <v>2022</v>
      </c>
      <c r="E159" s="25">
        <f t="shared" si="2"/>
        <v>8</v>
      </c>
      <c r="F159" s="15" t="s">
        <v>286</v>
      </c>
      <c r="G159" s="16">
        <v>6.0</v>
      </c>
      <c r="H159" s="16" t="str">
        <f>IFERROR(VLOOKUP(G159,'Costo x Articulo'!$B:$C,2,0),"")</f>
        <v>Torta brownie 20x20cm</v>
      </c>
      <c r="I159" s="16" t="s">
        <v>287</v>
      </c>
      <c r="J159" s="14">
        <v>1.0</v>
      </c>
      <c r="K159" s="14">
        <f>IFERROR(VLOOKUP(G159,'Costo x Articulo'!$B:$E,4,0)*J159,0)</f>
        <v>0</v>
      </c>
      <c r="L159" s="14">
        <f>IFERROR(VLOOKUP(G159,'Costo x Articulo'!$B:$E,3,0)*J159,0)</f>
        <v>20000</v>
      </c>
      <c r="M159" s="14">
        <f t="shared" si="12"/>
        <v>20000</v>
      </c>
      <c r="N159" s="1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2.75" customHeight="1">
      <c r="A160" s="2"/>
      <c r="B160" s="14">
        <v>38.0</v>
      </c>
      <c r="C160" s="15">
        <v>44799.0</v>
      </c>
      <c r="D160" s="25">
        <f t="shared" si="1"/>
        <v>2022</v>
      </c>
      <c r="E160" s="25">
        <f t="shared" si="2"/>
        <v>8</v>
      </c>
      <c r="F160" s="15" t="s">
        <v>288</v>
      </c>
      <c r="G160" s="16">
        <v>23.0</v>
      </c>
      <c r="H160" s="16" t="str">
        <f>IFERROR(VLOOKUP(G160,'Costo x Articulo'!$B:$C,2,0),"")</f>
        <v>Tarta de Manzana 22cm</v>
      </c>
      <c r="I160" s="16"/>
      <c r="J160" s="14">
        <v>1.0</v>
      </c>
      <c r="K160" s="14">
        <f>IFERROR(VLOOKUP(G160,'Costo x Articulo'!$B:$E,4,0)*J160,0)</f>
        <v>0</v>
      </c>
      <c r="L160" s="14">
        <f>IFERROR(VLOOKUP(G160,'Costo x Articulo'!$B:$E,3,0)*J160,0)</f>
        <v>13000</v>
      </c>
      <c r="M160" s="14">
        <f t="shared" si="12"/>
        <v>13000</v>
      </c>
      <c r="N160" s="1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2.75" customHeight="1">
      <c r="A161" s="2"/>
      <c r="B161" s="14">
        <v>39.0</v>
      </c>
      <c r="C161" s="15">
        <v>44800.0</v>
      </c>
      <c r="D161" s="25">
        <f t="shared" si="1"/>
        <v>2022</v>
      </c>
      <c r="E161" s="25">
        <f t="shared" si="2"/>
        <v>8</v>
      </c>
      <c r="F161" s="15" t="s">
        <v>289</v>
      </c>
      <c r="G161" s="16">
        <v>79.0</v>
      </c>
      <c r="H161" s="16" t="str">
        <f>IFERROR(VLOOKUP(G161,'Costo x Articulo'!$B:$C,2,0),"")</f>
        <v>CHOCOTORTA CON DECO EN CHOCO</v>
      </c>
      <c r="I161" s="16" t="s">
        <v>290</v>
      </c>
      <c r="J161" s="14">
        <v>1.0</v>
      </c>
      <c r="K161" s="14">
        <f>IFERROR(VLOOKUP(G161,'Costo x Articulo'!$B:$E,4,0)*J161,0)</f>
        <v>0</v>
      </c>
      <c r="L161" s="14">
        <f>IFERROR(VLOOKUP(G161,'Costo x Articulo'!$B:$E,3,0)*J161,0)</f>
        <v>0</v>
      </c>
      <c r="M161" s="14">
        <f t="shared" si="12"/>
        <v>0</v>
      </c>
      <c r="N161" s="1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2.75" customHeight="1">
      <c r="A162" s="2"/>
      <c r="B162" s="14">
        <v>40.0</v>
      </c>
      <c r="C162" s="15">
        <v>44800.0</v>
      </c>
      <c r="D162" s="25">
        <f t="shared" si="1"/>
        <v>2022</v>
      </c>
      <c r="E162" s="25">
        <f t="shared" si="2"/>
        <v>8</v>
      </c>
      <c r="F162" s="15" t="s">
        <v>291</v>
      </c>
      <c r="G162" s="16">
        <v>79.0</v>
      </c>
      <c r="H162" s="16" t="str">
        <f>IFERROR(VLOOKUP(G162,'Costo x Articulo'!$B:$C,2,0),"")</f>
        <v>CHOCOTORTA CON DECO EN CHOCO</v>
      </c>
      <c r="I162" s="16" t="s">
        <v>292</v>
      </c>
      <c r="J162" s="14">
        <v>1.0</v>
      </c>
      <c r="K162" s="14">
        <f>IFERROR(VLOOKUP(G162,'Costo x Articulo'!$B:$E,4,0)*J162,0)</f>
        <v>0</v>
      </c>
      <c r="L162" s="14">
        <f>IFERROR(VLOOKUP(G162,'Costo x Articulo'!$B:$E,3,0)*J162,0)</f>
        <v>0</v>
      </c>
      <c r="M162" s="14">
        <f t="shared" si="12"/>
        <v>0</v>
      </c>
      <c r="N162" s="1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2.75" customHeight="1">
      <c r="A163" s="2"/>
      <c r="B163" s="14">
        <v>41.0</v>
      </c>
      <c r="C163" s="15">
        <v>44802.0</v>
      </c>
      <c r="D163" s="25">
        <f t="shared" si="1"/>
        <v>2022</v>
      </c>
      <c r="E163" s="25">
        <f t="shared" si="2"/>
        <v>8</v>
      </c>
      <c r="F163" s="15" t="s">
        <v>293</v>
      </c>
      <c r="G163" s="16">
        <v>23.0</v>
      </c>
      <c r="H163" s="16" t="str">
        <f>IFERROR(VLOOKUP(G163,'Costo x Articulo'!$B:$C,2,0),"")</f>
        <v>Tarta de Manzana 22cm</v>
      </c>
      <c r="I163" s="16"/>
      <c r="J163" s="14">
        <v>1.0</v>
      </c>
      <c r="K163" s="14">
        <f>IFERROR(VLOOKUP(G163,'Costo x Articulo'!$B:$E,4,0)*J163,0)</f>
        <v>0</v>
      </c>
      <c r="L163" s="14">
        <f>IFERROR(VLOOKUP(G163,'Costo x Articulo'!$B:$E,3,0)*J163,0)</f>
        <v>13000</v>
      </c>
      <c r="M163" s="14">
        <f t="shared" si="12"/>
        <v>13000</v>
      </c>
      <c r="N163" s="1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2.75" customHeight="1">
      <c r="A164" s="2"/>
      <c r="B164" s="14">
        <v>42.0</v>
      </c>
      <c r="C164" s="15">
        <v>44802.0</v>
      </c>
      <c r="D164" s="25">
        <f t="shared" si="1"/>
        <v>2022</v>
      </c>
      <c r="E164" s="25">
        <f t="shared" si="2"/>
        <v>8</v>
      </c>
      <c r="F164" s="15" t="s">
        <v>293</v>
      </c>
      <c r="G164" s="16">
        <v>29.0</v>
      </c>
      <c r="H164" s="16" t="str">
        <f>IFERROR(VLOOKUP(G164,'Costo x Articulo'!$B:$C,2,0),"")</f>
        <v>Chipa 1/2 kg</v>
      </c>
      <c r="I164" s="16"/>
      <c r="J164" s="14">
        <v>1.0</v>
      </c>
      <c r="K164" s="14">
        <f>IFERROR(VLOOKUP(G164,'Costo x Articulo'!$B:$E,4,0)*J164,0)</f>
        <v>0</v>
      </c>
      <c r="L164" s="14">
        <f>IFERROR(VLOOKUP(G164,'Costo x Articulo'!$B:$E,3,0)*J164,0)</f>
        <v>0</v>
      </c>
      <c r="M164" s="14">
        <f t="shared" si="12"/>
        <v>0</v>
      </c>
      <c r="N164" s="1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2.75" customHeight="1">
      <c r="A165" s="2"/>
      <c r="B165" s="14">
        <v>43.0</v>
      </c>
      <c r="C165" s="15">
        <v>44821.0</v>
      </c>
      <c r="D165" s="25">
        <f t="shared" si="1"/>
        <v>2022</v>
      </c>
      <c r="E165" s="25">
        <f t="shared" si="2"/>
        <v>9</v>
      </c>
      <c r="F165" s="15" t="s">
        <v>294</v>
      </c>
      <c r="G165" s="16">
        <v>92.0</v>
      </c>
      <c r="H165" s="16" t="str">
        <f>IFERROR(VLOOKUP(G165,'Costo x Articulo'!$B:$C,2,0),"")</f>
        <v>Mini budin x8 unidades</v>
      </c>
      <c r="I165" s="16" t="s">
        <v>295</v>
      </c>
      <c r="J165" s="14">
        <f>150/8</f>
        <v>18.75</v>
      </c>
      <c r="K165" s="14">
        <f>IFERROR(VLOOKUP(G165,'Costo x Articulo'!$B:$E,4,0)*J165,0)</f>
        <v>0</v>
      </c>
      <c r="L165" s="14">
        <f>IFERROR(VLOOKUP(G165,'Costo x Articulo'!$B:$E,3,0)*J165,0)</f>
        <v>0</v>
      </c>
      <c r="M165" s="14">
        <f t="shared" si="12"/>
        <v>0</v>
      </c>
      <c r="N165" s="1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2.75" customHeight="1">
      <c r="A166" s="2"/>
      <c r="B166" s="14">
        <v>44.0</v>
      </c>
      <c r="C166" s="15">
        <v>44821.0</v>
      </c>
      <c r="D166" s="25">
        <f t="shared" si="1"/>
        <v>2022</v>
      </c>
      <c r="E166" s="25">
        <f t="shared" si="2"/>
        <v>9</v>
      </c>
      <c r="F166" s="15" t="s">
        <v>296</v>
      </c>
      <c r="G166" s="16">
        <v>2.0</v>
      </c>
      <c r="H166" s="16" t="str">
        <f>IFERROR(VLOOKUP(G166,'Costo x Articulo'!$B:$C,2,0),"")</f>
        <v>Macarrons x 12 unidades</v>
      </c>
      <c r="I166" s="16" t="s">
        <v>297</v>
      </c>
      <c r="J166" s="14">
        <v>6.0</v>
      </c>
      <c r="K166" s="14">
        <f>IFERROR(VLOOKUP(G166,'Costo x Articulo'!$B:$E,4,0)*J166,0)</f>
        <v>0</v>
      </c>
      <c r="L166" s="14">
        <f>IFERROR(VLOOKUP(G166,'Costo x Articulo'!$B:$E,3,0)*J166,0)</f>
        <v>42000</v>
      </c>
      <c r="M166" s="14">
        <f t="shared" si="12"/>
        <v>42000</v>
      </c>
      <c r="N166" s="1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2.75" customHeight="1">
      <c r="A167" s="2"/>
      <c r="B167" s="14">
        <v>45.0</v>
      </c>
      <c r="C167" s="15">
        <v>44816.0</v>
      </c>
      <c r="D167" s="25">
        <f t="shared" si="1"/>
        <v>2022</v>
      </c>
      <c r="E167" s="25">
        <f t="shared" si="2"/>
        <v>9</v>
      </c>
      <c r="F167" s="15" t="s">
        <v>83</v>
      </c>
      <c r="G167" s="16">
        <v>35.0</v>
      </c>
      <c r="H167" s="16" t="str">
        <f>IFERROR(VLOOKUP(G167,'Costo x Articulo'!$B:$C,2,0),"")</f>
        <v>desayuno completo</v>
      </c>
      <c r="I167" s="16"/>
      <c r="J167" s="14">
        <v>1.0</v>
      </c>
      <c r="K167" s="14">
        <f>IFERROR(VLOOKUP(G167,'Costo x Articulo'!$B:$E,4,0)*J167,0)</f>
        <v>0</v>
      </c>
      <c r="L167" s="14">
        <f>IFERROR(VLOOKUP(G167,'Costo x Articulo'!$B:$E,3,0)*J167,0)</f>
        <v>0</v>
      </c>
      <c r="M167" s="14">
        <f t="shared" si="12"/>
        <v>0</v>
      </c>
      <c r="N167" s="1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2.75" customHeight="1">
      <c r="A168" s="2"/>
      <c r="B168" s="14">
        <v>46.0</v>
      </c>
      <c r="C168" s="15">
        <v>44816.0</v>
      </c>
      <c r="D168" s="25">
        <f t="shared" si="1"/>
        <v>2022</v>
      </c>
      <c r="E168" s="25">
        <f t="shared" si="2"/>
        <v>9</v>
      </c>
      <c r="F168" s="15" t="s">
        <v>83</v>
      </c>
      <c r="G168" s="16">
        <v>75.0</v>
      </c>
      <c r="H168" s="16" t="s">
        <v>298</v>
      </c>
      <c r="I168" s="16"/>
      <c r="J168" s="14">
        <v>1.0</v>
      </c>
      <c r="K168" s="14">
        <f>IFERROR(VLOOKUP(G168,'Costo x Articulo'!$B:$E,4,0)*J168,0)</f>
        <v>0</v>
      </c>
      <c r="L168" s="14">
        <f>IFERROR(VLOOKUP(G168,'Costo x Articulo'!$B:$E,3,0)*J168,0)</f>
        <v>0</v>
      </c>
      <c r="M168" s="14">
        <f t="shared" si="12"/>
        <v>0</v>
      </c>
      <c r="N168" s="1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2.75" customHeight="1">
      <c r="A169" s="2"/>
      <c r="B169" s="14">
        <v>47.0</v>
      </c>
      <c r="C169" s="15">
        <v>44823.0</v>
      </c>
      <c r="D169" s="25">
        <f t="shared" si="1"/>
        <v>2022</v>
      </c>
      <c r="E169" s="25">
        <f t="shared" si="2"/>
        <v>9</v>
      </c>
      <c r="F169" s="15" t="s">
        <v>299</v>
      </c>
      <c r="G169" s="16"/>
      <c r="H169" s="16" t="str">
        <f>IFERROR(VLOOKUP(G169,'Costo x Articulo'!$B:$C,2,0),"")</f>
        <v/>
      </c>
      <c r="I169" s="16"/>
      <c r="J169" s="14"/>
      <c r="K169" s="14">
        <f>IFERROR(VLOOKUP(G169,'Costo x Articulo'!$B:$E,4,0)*J169,0)</f>
        <v>0</v>
      </c>
      <c r="L169" s="14">
        <f>IFERROR(VLOOKUP(G169,'Costo x Articulo'!$B:$E,3,0)*J169,0)</f>
        <v>0</v>
      </c>
      <c r="M169" s="14">
        <f t="shared" si="12"/>
        <v>0</v>
      </c>
      <c r="N169" s="1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2.75" customHeight="1">
      <c r="A170" s="2"/>
      <c r="B170" s="14">
        <v>48.0</v>
      </c>
      <c r="C170" s="15">
        <v>44831.0</v>
      </c>
      <c r="D170" s="25">
        <f t="shared" si="1"/>
        <v>2022</v>
      </c>
      <c r="E170" s="25">
        <f t="shared" si="2"/>
        <v>9</v>
      </c>
      <c r="F170" s="15" t="s">
        <v>300</v>
      </c>
      <c r="G170" s="16">
        <v>1.0</v>
      </c>
      <c r="H170" s="16" t="str">
        <f>IFERROR(VLOOKUP(G170,'Costo x Articulo'!$B:$C,2,0),"")</f>
        <v>Budín de limón</v>
      </c>
      <c r="I170" s="16"/>
      <c r="J170" s="14">
        <v>1.0</v>
      </c>
      <c r="K170" s="14">
        <f>IFERROR(VLOOKUP(G170,'Costo x Articulo'!$B:$E,4,0)*J170,0)</f>
        <v>0</v>
      </c>
      <c r="L170" s="14">
        <f>IFERROR(VLOOKUP(G170,'Costo x Articulo'!$B:$E,3,0)*J170,0)</f>
        <v>10000</v>
      </c>
      <c r="M170" s="14">
        <f t="shared" si="12"/>
        <v>10000</v>
      </c>
      <c r="N170" s="1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2.75" customHeight="1">
      <c r="A171" s="2"/>
      <c r="B171" s="14">
        <v>49.0</v>
      </c>
      <c r="C171" s="15">
        <v>44833.0</v>
      </c>
      <c r="D171" s="25">
        <f t="shared" si="1"/>
        <v>2022</v>
      </c>
      <c r="E171" s="25">
        <f t="shared" si="2"/>
        <v>9</v>
      </c>
      <c r="F171" s="15" t="s">
        <v>301</v>
      </c>
      <c r="G171" s="16">
        <v>25.0</v>
      </c>
      <c r="H171" s="16" t="str">
        <f>IFERROR(VLOOKUP(G171,'Costo x Articulo'!$B:$C,2,0),"")</f>
        <v>Doble  Cake</v>
      </c>
      <c r="I171" s="16"/>
      <c r="J171" s="14">
        <v>1.0</v>
      </c>
      <c r="K171" s="14">
        <f>IFERROR(VLOOKUP(G171,'Costo x Articulo'!$B:$E,4,0)*J171,0)</f>
        <v>0</v>
      </c>
      <c r="L171" s="14">
        <f>IFERROR(VLOOKUP(G171,'Costo x Articulo'!$B:$E,3,0)*J171,0)</f>
        <v>0</v>
      </c>
      <c r="M171" s="14">
        <f t="shared" si="12"/>
        <v>0</v>
      </c>
      <c r="N171" s="1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2.75" customHeight="1">
      <c r="A172" s="2"/>
      <c r="B172" s="14">
        <v>50.0</v>
      </c>
      <c r="C172" s="15">
        <v>44826.0</v>
      </c>
      <c r="D172" s="25">
        <f t="shared" si="1"/>
        <v>2022</v>
      </c>
      <c r="E172" s="25">
        <f t="shared" si="2"/>
        <v>9</v>
      </c>
      <c r="F172" s="15" t="s">
        <v>302</v>
      </c>
      <c r="G172" s="16">
        <v>94.0</v>
      </c>
      <c r="H172" s="16" t="str">
        <f>IFERROR(VLOOKUP(G172,'Costo x Articulo'!$B:$C,2,0),"")</f>
        <v>Balcarse 20 cm </v>
      </c>
      <c r="I172" s="16"/>
      <c r="J172" s="14">
        <v>1.0</v>
      </c>
      <c r="K172" s="14">
        <f>IFERROR(VLOOKUP(G172,'Costo x Articulo'!$B:$E,4,0)*J172,0)</f>
        <v>0</v>
      </c>
      <c r="L172" s="14">
        <f>IFERROR(VLOOKUP(G172,'Costo x Articulo'!$B:$E,3,0)*J172,0)</f>
        <v>0</v>
      </c>
      <c r="M172" s="14">
        <f t="shared" si="12"/>
        <v>0</v>
      </c>
      <c r="N172" s="1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2.75" customHeight="1">
      <c r="A173" s="2"/>
      <c r="B173" s="14">
        <v>51.0</v>
      </c>
      <c r="C173" s="15">
        <v>44825.0</v>
      </c>
      <c r="D173" s="25">
        <f t="shared" si="1"/>
        <v>2022</v>
      </c>
      <c r="E173" s="25">
        <f t="shared" si="2"/>
        <v>9</v>
      </c>
      <c r="F173" s="15" t="s">
        <v>77</v>
      </c>
      <c r="G173" s="16">
        <v>1.0</v>
      </c>
      <c r="H173" s="16" t="str">
        <f>IFERROR(VLOOKUP(G173,'Costo x Articulo'!$B:$C,2,0),"")</f>
        <v>Budín de limón</v>
      </c>
      <c r="I173" s="16"/>
      <c r="J173" s="14">
        <v>2.0</v>
      </c>
      <c r="K173" s="14">
        <f>IFERROR(VLOOKUP(G173,'Costo x Articulo'!$B:$E,4,0)*J173,0)</f>
        <v>0</v>
      </c>
      <c r="L173" s="14">
        <f>IFERROR(VLOOKUP(G173,'Costo x Articulo'!$B:$E,3,0)*J173,0)</f>
        <v>20000</v>
      </c>
      <c r="M173" s="14">
        <f t="shared" si="12"/>
        <v>20000</v>
      </c>
      <c r="N173" s="1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2.75" customHeight="1">
      <c r="A174" s="2"/>
      <c r="B174" s="14">
        <v>52.0</v>
      </c>
      <c r="C174" s="15">
        <v>44834.0</v>
      </c>
      <c r="D174" s="25">
        <f t="shared" si="1"/>
        <v>2022</v>
      </c>
      <c r="E174" s="25">
        <f t="shared" si="2"/>
        <v>9</v>
      </c>
      <c r="F174" s="15" t="s">
        <v>303</v>
      </c>
      <c r="G174" s="16"/>
      <c r="H174" s="16" t="str">
        <f>IFERROR(VLOOKUP(G174,'Costo x Articulo'!$B:$C,2,0),"")</f>
        <v/>
      </c>
      <c r="I174" s="16" t="s">
        <v>304</v>
      </c>
      <c r="J174" s="14"/>
      <c r="K174" s="14">
        <f>IFERROR(VLOOKUP(G174,'Costo x Articulo'!$B:$E,4,0)*J174,0)</f>
        <v>0</v>
      </c>
      <c r="L174" s="14">
        <f>IFERROR(VLOOKUP(G174,'Costo x Articulo'!$B:$E,3,0)*J174,0)</f>
        <v>0</v>
      </c>
      <c r="M174" s="14">
        <f t="shared" si="12"/>
        <v>0</v>
      </c>
      <c r="N174" s="1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2.75" customHeight="1">
      <c r="A175" s="2"/>
      <c r="B175" s="14">
        <v>53.0</v>
      </c>
      <c r="C175" s="15">
        <v>45017.0</v>
      </c>
      <c r="D175" s="25">
        <f t="shared" si="1"/>
        <v>2023</v>
      </c>
      <c r="E175" s="25">
        <f t="shared" si="2"/>
        <v>4</v>
      </c>
      <c r="F175" s="15" t="s">
        <v>305</v>
      </c>
      <c r="G175" s="16">
        <v>76.0</v>
      </c>
      <c r="H175" s="16" t="str">
        <f>IFERROR(VLOOKUP(G175,'Costo x Articulo'!$B:$C,2,0),"")</f>
        <v>muffins decorados con pasta </v>
      </c>
      <c r="I175" s="16"/>
      <c r="J175" s="14">
        <v>1.0</v>
      </c>
      <c r="K175" s="14">
        <f>IFERROR(VLOOKUP(G175,'Costo x Articulo'!$B:$E,4,0)*J175,0)</f>
        <v>0</v>
      </c>
      <c r="L175" s="14">
        <f>IFERROR(VLOOKUP(G175,'Costo x Articulo'!$B:$E,3,0)*J175,0)</f>
        <v>0</v>
      </c>
      <c r="M175" s="14">
        <f t="shared" si="12"/>
        <v>0</v>
      </c>
      <c r="N175" s="16" t="s">
        <v>306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2.75" customHeight="1">
      <c r="A176" s="2"/>
      <c r="B176" s="14">
        <v>53.0</v>
      </c>
      <c r="C176" s="15">
        <v>45017.0</v>
      </c>
      <c r="D176" s="25">
        <f t="shared" si="1"/>
        <v>2023</v>
      </c>
      <c r="E176" s="25">
        <f t="shared" si="2"/>
        <v>4</v>
      </c>
      <c r="F176" s="15"/>
      <c r="G176" s="16">
        <v>28.0</v>
      </c>
      <c r="H176" s="16" t="str">
        <f>IFERROR(VLOOKUP(G176,'Costo x Articulo'!$B:$C,2,0),"")</f>
        <v>Cookies decoradas x 12u</v>
      </c>
      <c r="I176" s="16"/>
      <c r="J176" s="14">
        <v>1.0</v>
      </c>
      <c r="K176" s="14">
        <f>IFERROR(VLOOKUP(G176,'Costo x Articulo'!$B:$E,4,0)*J176,0)</f>
        <v>0</v>
      </c>
      <c r="L176" s="14">
        <f>IFERROR(VLOOKUP(G176,'Costo x Articulo'!$B:$E,3,0)*J176,0)</f>
        <v>0</v>
      </c>
      <c r="M176" s="14">
        <f t="shared" si="12"/>
        <v>0</v>
      </c>
      <c r="N176" s="16" t="s">
        <v>306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2.75" customHeight="1">
      <c r="A177" s="2"/>
      <c r="B177" s="14">
        <v>53.0</v>
      </c>
      <c r="C177" s="15">
        <v>45017.0</v>
      </c>
      <c r="D177" s="25">
        <f t="shared" si="1"/>
        <v>2023</v>
      </c>
      <c r="E177" s="25">
        <f t="shared" si="2"/>
        <v>4</v>
      </c>
      <c r="F177" s="15"/>
      <c r="G177" s="16">
        <v>95.0</v>
      </c>
      <c r="H177" s="16" t="str">
        <f>IFERROR(VLOOKUP(G177,'Costo x Articulo'!$B:$C,2,0),"")</f>
        <v>Oreos Bañadas con deco </v>
      </c>
      <c r="I177" s="16"/>
      <c r="J177" s="14">
        <v>1.0</v>
      </c>
      <c r="K177" s="14">
        <f>IFERROR(VLOOKUP(G177,'Costo x Articulo'!$B:$E,4,0)*J177,0)</f>
        <v>0</v>
      </c>
      <c r="L177" s="14">
        <f>IFERROR(VLOOKUP(G177,'Costo x Articulo'!$B:$E,3,0)*J177,0)</f>
        <v>0</v>
      </c>
      <c r="M177" s="14">
        <f t="shared" si="12"/>
        <v>0</v>
      </c>
      <c r="N177" s="16" t="s">
        <v>307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2.75" customHeight="1">
      <c r="A178" s="2"/>
      <c r="B178" s="14">
        <v>53.0</v>
      </c>
      <c r="C178" s="15">
        <v>45017.0</v>
      </c>
      <c r="D178" s="25">
        <f t="shared" si="1"/>
        <v>2023</v>
      </c>
      <c r="E178" s="25">
        <f t="shared" si="2"/>
        <v>4</v>
      </c>
      <c r="F178" s="15"/>
      <c r="G178" s="16">
        <v>2.0</v>
      </c>
      <c r="H178" s="16" t="str">
        <f>IFERROR(VLOOKUP(G178,'Costo x Articulo'!$B:$C,2,0),"")</f>
        <v>Macarrons x 12 unidades</v>
      </c>
      <c r="I178" s="16"/>
      <c r="J178" s="14">
        <v>1.0</v>
      </c>
      <c r="K178" s="14">
        <f>IFERROR(VLOOKUP(G178,'Costo x Articulo'!$B:$E,4,0)*J178,0)</f>
        <v>0</v>
      </c>
      <c r="L178" s="14">
        <f>IFERROR(VLOOKUP(G178,'Costo x Articulo'!$B:$E,3,0)*J178,0)</f>
        <v>7000</v>
      </c>
      <c r="M178" s="14">
        <f t="shared" si="12"/>
        <v>7000</v>
      </c>
      <c r="N178" s="16" t="s">
        <v>307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2.75" customHeight="1">
      <c r="A179" s="2"/>
      <c r="B179" s="14">
        <v>53.0</v>
      </c>
      <c r="C179" s="15">
        <v>45017.0</v>
      </c>
      <c r="D179" s="25">
        <f t="shared" si="1"/>
        <v>2023</v>
      </c>
      <c r="E179" s="25">
        <f t="shared" si="2"/>
        <v>4</v>
      </c>
      <c r="F179" s="15"/>
      <c r="G179" s="16">
        <v>74.0</v>
      </c>
      <c r="H179" s="16" t="str">
        <f>IFERROR(VLOOKUP(G179,'Costo x Articulo'!$B:$C,2,0),"")</f>
        <v>Heladitos x 6</v>
      </c>
      <c r="I179" s="16" t="s">
        <v>308</v>
      </c>
      <c r="J179" s="14">
        <v>1.0</v>
      </c>
      <c r="K179" s="14">
        <f>IFERROR(VLOOKUP(G179,'Costo x Articulo'!$B:$E,4,0)*J179,0)</f>
        <v>0</v>
      </c>
      <c r="L179" s="14">
        <f>IFERROR(VLOOKUP(G179,'Costo x Articulo'!$B:$E,3,0)*J179,0)</f>
        <v>0</v>
      </c>
      <c r="M179" s="14">
        <f t="shared" si="12"/>
        <v>0</v>
      </c>
      <c r="N179" s="16" t="s">
        <v>307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2.75" customHeight="1">
      <c r="A180" s="2"/>
      <c r="B180" s="14">
        <v>53.0</v>
      </c>
      <c r="C180" s="15">
        <v>45017.0</v>
      </c>
      <c r="D180" s="25">
        <f t="shared" si="1"/>
        <v>2023</v>
      </c>
      <c r="E180" s="25">
        <f t="shared" si="2"/>
        <v>4</v>
      </c>
      <c r="F180" s="15"/>
      <c r="G180" s="16">
        <v>70.0</v>
      </c>
      <c r="H180" s="16" t="str">
        <f>IFERROR(VLOOKUP(G180,'Costo x Articulo'!$B:$C,2,0),"")</f>
        <v>buttercream 22 cm </v>
      </c>
      <c r="I180" s="16" t="s">
        <v>309</v>
      </c>
      <c r="J180" s="14">
        <v>1.0</v>
      </c>
      <c r="K180" s="14">
        <f>IFERROR(VLOOKUP(G180,'Costo x Articulo'!$B:$E,4,0)*J180,0)</f>
        <v>0</v>
      </c>
      <c r="L180" s="14">
        <f>IFERROR(VLOOKUP(G180,'Costo x Articulo'!$B:$E,3,0)*J180,0)</f>
        <v>40000</v>
      </c>
      <c r="M180" s="14">
        <f t="shared" si="12"/>
        <v>40000</v>
      </c>
      <c r="N180" s="16" t="s">
        <v>310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2.75" customHeight="1">
      <c r="A181" s="2"/>
      <c r="B181" s="14">
        <v>54.0</v>
      </c>
      <c r="C181" s="15">
        <v>45017.0</v>
      </c>
      <c r="D181" s="25">
        <f t="shared" si="1"/>
        <v>2023</v>
      </c>
      <c r="E181" s="25">
        <f t="shared" si="2"/>
        <v>4</v>
      </c>
      <c r="F181" s="15" t="s">
        <v>311</v>
      </c>
      <c r="G181" s="16">
        <v>60.0</v>
      </c>
      <c r="H181" s="16" t="str">
        <f>IFERROR(VLOOKUP(G181,'Costo x Articulo'!$B:$C,2,0),"")</f>
        <v>Drip Cake 16 Cm</v>
      </c>
      <c r="I181" s="16" t="s">
        <v>312</v>
      </c>
      <c r="J181" s="14">
        <v>1.0</v>
      </c>
      <c r="K181" s="14">
        <f>IFERROR(VLOOKUP(G181,'Costo x Articulo'!$B:$E,4,0)*J181,0)</f>
        <v>0</v>
      </c>
      <c r="L181" s="14">
        <f>IFERROR(VLOOKUP(G181,'Costo x Articulo'!$B:$E,3,0)*J181,0)</f>
        <v>0</v>
      </c>
      <c r="M181" s="14">
        <f t="shared" si="12"/>
        <v>0</v>
      </c>
      <c r="N181" s="16" t="s">
        <v>313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2.75" customHeight="1">
      <c r="A182" s="2"/>
      <c r="B182" s="14">
        <v>55.0</v>
      </c>
      <c r="C182" s="15">
        <v>45017.0</v>
      </c>
      <c r="D182" s="25">
        <f t="shared" si="1"/>
        <v>2023</v>
      </c>
      <c r="E182" s="25">
        <f t="shared" si="2"/>
        <v>4</v>
      </c>
      <c r="F182" s="15" t="s">
        <v>200</v>
      </c>
      <c r="G182" s="16">
        <v>96.0</v>
      </c>
      <c r="H182" s="16" t="str">
        <f>IFERROR(VLOOKUP(G182,'Costo x Articulo'!$B:$C,2,0),"")</f>
        <v>Chocotorta rectangular 20x30 cm</v>
      </c>
      <c r="I182" s="16" t="s">
        <v>314</v>
      </c>
      <c r="J182" s="14">
        <v>1.0</v>
      </c>
      <c r="K182" s="14">
        <f>IFERROR(VLOOKUP(G182,'Costo x Articulo'!$B:$E,4,0)*J182,0)</f>
        <v>0</v>
      </c>
      <c r="L182" s="14">
        <f>IFERROR(VLOOKUP(G182,'Costo x Articulo'!$B:$E,3,0)*J182,0)</f>
        <v>0</v>
      </c>
      <c r="M182" s="14">
        <f t="shared" si="12"/>
        <v>0</v>
      </c>
      <c r="N182" s="16" t="s">
        <v>315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2.75" customHeight="1">
      <c r="A183" s="2"/>
      <c r="B183" s="14">
        <v>56.0</v>
      </c>
      <c r="C183" s="15">
        <v>45021.0</v>
      </c>
      <c r="D183" s="25">
        <f t="shared" si="1"/>
        <v>2023</v>
      </c>
      <c r="E183" s="25">
        <f t="shared" si="2"/>
        <v>4</v>
      </c>
      <c r="F183" s="15" t="s">
        <v>316</v>
      </c>
      <c r="G183" s="16">
        <v>62.0</v>
      </c>
      <c r="H183" s="16" t="str">
        <f>IFERROR(VLOOKUP(G183,'Costo x Articulo'!$B:$C,2,0),"")</f>
        <v>buttercream 20  cm </v>
      </c>
      <c r="I183" s="16" t="s">
        <v>317</v>
      </c>
      <c r="J183" s="14">
        <v>1.0</v>
      </c>
      <c r="K183" s="14">
        <f>IFERROR(VLOOKUP(G183,'Costo x Articulo'!$B:$E,4,0)*J183,0)</f>
        <v>0</v>
      </c>
      <c r="L183" s="14">
        <f>IFERROR(VLOOKUP(G183,'Costo x Articulo'!$B:$E,3,0)*J183,0)</f>
        <v>35000</v>
      </c>
      <c r="M183" s="14">
        <f t="shared" si="12"/>
        <v>35000</v>
      </c>
      <c r="N183" s="16" t="s">
        <v>318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2.75" customHeight="1">
      <c r="A184" s="2"/>
      <c r="B184" s="14">
        <v>57.0</v>
      </c>
      <c r="C184" s="15">
        <v>45037.0</v>
      </c>
      <c r="D184" s="25">
        <f t="shared" si="1"/>
        <v>2023</v>
      </c>
      <c r="E184" s="25">
        <f t="shared" si="2"/>
        <v>4</v>
      </c>
      <c r="F184" s="15" t="s">
        <v>319</v>
      </c>
      <c r="G184" s="16">
        <v>97.0</v>
      </c>
      <c r="H184" s="16" t="str">
        <f>IFERROR(VLOOKUP(G184,'Costo x Articulo'!$B:$C,2,0),"")</f>
        <v>Arrollado con crema </v>
      </c>
      <c r="I184" s="16"/>
      <c r="J184" s="14">
        <v>1.0</v>
      </c>
      <c r="K184" s="14">
        <f>IFERROR(VLOOKUP(G184,'Costo x Articulo'!$B:$E,4,0)*J184,0)</f>
        <v>0</v>
      </c>
      <c r="L184" s="14">
        <f>IFERROR(VLOOKUP(G184,'Costo x Articulo'!$B:$E,3,0)*J184,0)</f>
        <v>0</v>
      </c>
      <c r="M184" s="14">
        <f t="shared" si="12"/>
        <v>0</v>
      </c>
      <c r="N184" s="1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2.75" customHeight="1">
      <c r="A185" s="2"/>
      <c r="B185" s="14">
        <v>58.0</v>
      </c>
      <c r="C185" s="15">
        <v>45038.0</v>
      </c>
      <c r="D185" s="25">
        <f t="shared" si="1"/>
        <v>2023</v>
      </c>
      <c r="E185" s="25">
        <f t="shared" si="2"/>
        <v>4</v>
      </c>
      <c r="F185" s="15" t="s">
        <v>320</v>
      </c>
      <c r="G185" s="16"/>
      <c r="H185" s="16" t="str">
        <f>IFERROR(VLOOKUP(G185,'Costo x Articulo'!$B:$C,2,0),"")</f>
        <v/>
      </c>
      <c r="I185" s="16"/>
      <c r="J185" s="14"/>
      <c r="K185" s="14">
        <f>IFERROR(VLOOKUP(G185,'Costo x Articulo'!$B:$E,4,0)*J185,0)</f>
        <v>0</v>
      </c>
      <c r="L185" s="14">
        <f>IFERROR(VLOOKUP(G185,'Costo x Articulo'!$B:$E,3,0)*J185,0)</f>
        <v>0</v>
      </c>
      <c r="M185" s="14">
        <f t="shared" si="12"/>
        <v>0</v>
      </c>
      <c r="N185" s="1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2.75" customHeight="1">
      <c r="A186" s="2"/>
      <c r="B186" s="14">
        <v>59.0</v>
      </c>
      <c r="C186" s="15">
        <v>45031.0</v>
      </c>
      <c r="D186" s="25">
        <f t="shared" si="1"/>
        <v>2023</v>
      </c>
      <c r="E186" s="25">
        <f t="shared" si="2"/>
        <v>4</v>
      </c>
      <c r="F186" s="15" t="s">
        <v>321</v>
      </c>
      <c r="G186" s="16">
        <v>62.0</v>
      </c>
      <c r="H186" s="16" t="str">
        <f>IFERROR(VLOOKUP(G186,'Costo x Articulo'!$B:$C,2,0),"")</f>
        <v>buttercream 20  cm </v>
      </c>
      <c r="I186" s="16" t="s">
        <v>322</v>
      </c>
      <c r="J186" s="14">
        <v>1.0</v>
      </c>
      <c r="K186" s="14">
        <f>IFERROR(VLOOKUP(G186,'Costo x Articulo'!$B:$E,4,0)*J186,0)</f>
        <v>0</v>
      </c>
      <c r="L186" s="14">
        <f>IFERROR(VLOOKUP(G186,'Costo x Articulo'!$B:$E,3,0)*J186,0)</f>
        <v>35000</v>
      </c>
      <c r="M186" s="14">
        <f t="shared" si="12"/>
        <v>35000</v>
      </c>
      <c r="N186" s="16" t="s">
        <v>323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2.75" customHeight="1">
      <c r="A187" s="2"/>
      <c r="B187" s="14">
        <v>60.0</v>
      </c>
      <c r="C187" s="15">
        <v>45057.0</v>
      </c>
      <c r="D187" s="25">
        <f t="shared" si="1"/>
        <v>2023</v>
      </c>
      <c r="E187" s="25">
        <f t="shared" si="2"/>
        <v>5</v>
      </c>
      <c r="F187" s="15" t="s">
        <v>324</v>
      </c>
      <c r="G187" s="16">
        <v>24.0</v>
      </c>
      <c r="H187" s="16" t="str">
        <f>IFERROR(VLOOKUP(G187,'Costo x Articulo'!$B:$C,2,0),"")</f>
        <v>Chocotorta Redonda </v>
      </c>
      <c r="I187" s="16" t="s">
        <v>325</v>
      </c>
      <c r="J187" s="14">
        <v>1.0</v>
      </c>
      <c r="K187" s="14">
        <f>IFERROR(VLOOKUP(G187,'Costo x Articulo'!$B:$E,4,0)*J187,0)</f>
        <v>0</v>
      </c>
      <c r="L187" s="14">
        <f>IFERROR(VLOOKUP(G187,'Costo x Articulo'!$B:$E,3,0)*J187,0)</f>
        <v>0</v>
      </c>
      <c r="M187" s="14">
        <f t="shared" si="12"/>
        <v>0</v>
      </c>
      <c r="N187" s="16" t="s">
        <v>215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2.75" customHeight="1">
      <c r="A188" s="2"/>
      <c r="B188" s="14">
        <v>61.0</v>
      </c>
      <c r="C188" s="15">
        <v>45058.0</v>
      </c>
      <c r="D188" s="25">
        <f t="shared" si="1"/>
        <v>2023</v>
      </c>
      <c r="E188" s="25">
        <f t="shared" si="2"/>
        <v>5</v>
      </c>
      <c r="F188" s="15" t="s">
        <v>326</v>
      </c>
      <c r="G188" s="16">
        <v>60.0</v>
      </c>
      <c r="H188" s="16" t="str">
        <f>IFERROR(VLOOKUP(G188,'Costo x Articulo'!$B:$C,2,0),"")</f>
        <v>Drip Cake 16 Cm</v>
      </c>
      <c r="I188" s="16" t="s">
        <v>327</v>
      </c>
      <c r="J188" s="14">
        <v>1.0</v>
      </c>
      <c r="K188" s="14">
        <f>IFERROR(VLOOKUP(G188,'Costo x Articulo'!$B:$E,4,0)*J188,0)</f>
        <v>0</v>
      </c>
      <c r="L188" s="14">
        <f>IFERROR(VLOOKUP(G188,'Costo x Articulo'!$B:$E,3,0)*J188,0)</f>
        <v>0</v>
      </c>
      <c r="M188" s="14">
        <f t="shared" si="12"/>
        <v>0</v>
      </c>
      <c r="N188" s="1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2.75" customHeight="1">
      <c r="A189" s="2"/>
      <c r="B189" s="14">
        <v>61.0</v>
      </c>
      <c r="C189" s="15">
        <v>45058.0</v>
      </c>
      <c r="D189" s="25">
        <f t="shared" si="1"/>
        <v>2023</v>
      </c>
      <c r="E189" s="25">
        <f t="shared" si="2"/>
        <v>5</v>
      </c>
      <c r="F189" s="15" t="s">
        <v>326</v>
      </c>
      <c r="G189" s="16">
        <v>18.0</v>
      </c>
      <c r="H189" s="16" t="str">
        <f>IFERROR(VLOOKUP(G189,'Costo x Articulo'!$B:$C,2,0),"")</f>
        <v>Pastafrola</v>
      </c>
      <c r="I189" s="16" t="s">
        <v>328</v>
      </c>
      <c r="J189" s="14">
        <v>1.0</v>
      </c>
      <c r="K189" s="14">
        <f>IFERROR(VLOOKUP(G189,'Costo x Articulo'!$B:$E,4,0)*J189,0)</f>
        <v>0</v>
      </c>
      <c r="L189" s="14">
        <f>IFERROR(VLOOKUP(G189,'Costo x Articulo'!$B:$E,3,0)*J189,0)</f>
        <v>0</v>
      </c>
      <c r="M189" s="14">
        <f t="shared" si="12"/>
        <v>0</v>
      </c>
      <c r="N189" s="1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2.75" customHeight="1">
      <c r="A190" s="2"/>
      <c r="B190" s="14">
        <v>61.0</v>
      </c>
      <c r="C190" s="15">
        <v>45058.0</v>
      </c>
      <c r="D190" s="25">
        <f t="shared" si="1"/>
        <v>2023</v>
      </c>
      <c r="E190" s="25">
        <f t="shared" si="2"/>
        <v>5</v>
      </c>
      <c r="F190" s="15" t="s">
        <v>326</v>
      </c>
      <c r="G190" s="16">
        <v>18.0</v>
      </c>
      <c r="H190" s="16" t="str">
        <f>IFERROR(VLOOKUP(G190,'Costo x Articulo'!$B:$C,2,0),"")</f>
        <v>Pastafrola</v>
      </c>
      <c r="I190" s="16" t="s">
        <v>329</v>
      </c>
      <c r="J190" s="14">
        <v>1.0</v>
      </c>
      <c r="K190" s="14">
        <f>IFERROR(VLOOKUP(G190,'Costo x Articulo'!$B:$E,4,0)*J190,0)</f>
        <v>0</v>
      </c>
      <c r="L190" s="14">
        <f>IFERROR(VLOOKUP(G190,'Costo x Articulo'!$B:$E,3,0)*J190,0)</f>
        <v>0</v>
      </c>
      <c r="M190" s="14">
        <f t="shared" si="12"/>
        <v>0</v>
      </c>
      <c r="N190" s="1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2.75" customHeight="1">
      <c r="A191" s="2"/>
      <c r="B191" s="14">
        <v>62.0</v>
      </c>
      <c r="C191" s="15">
        <v>45058.0</v>
      </c>
      <c r="D191" s="25">
        <f t="shared" si="1"/>
        <v>2023</v>
      </c>
      <c r="E191" s="25">
        <f t="shared" si="2"/>
        <v>5</v>
      </c>
      <c r="F191" s="15" t="s">
        <v>283</v>
      </c>
      <c r="G191" s="16">
        <v>53.0</v>
      </c>
      <c r="H191" s="16" t="str">
        <f>IFERROR(VLOOKUP(G191,'Costo x Articulo'!$B:$C,2,0),"")</f>
        <v>Torta brownie 20cm frutos rojos</v>
      </c>
      <c r="I191" s="16"/>
      <c r="J191" s="14">
        <v>1.0</v>
      </c>
      <c r="K191" s="14">
        <f>IFERROR(VLOOKUP(G191,'Costo x Articulo'!$B:$E,4,0)*J191,0)</f>
        <v>0</v>
      </c>
      <c r="L191" s="14">
        <f>IFERROR(VLOOKUP(G191,'Costo x Articulo'!$B:$E,3,0)*J191,0)</f>
        <v>0</v>
      </c>
      <c r="M191" s="14">
        <f t="shared" si="12"/>
        <v>0</v>
      </c>
      <c r="N191" s="1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2.75" customHeight="1">
      <c r="A192" s="2"/>
      <c r="B192" s="14">
        <v>63.0</v>
      </c>
      <c r="C192" s="15">
        <v>45065.0</v>
      </c>
      <c r="D192" s="25">
        <f t="shared" si="1"/>
        <v>2023</v>
      </c>
      <c r="E192" s="25">
        <f t="shared" si="2"/>
        <v>5</v>
      </c>
      <c r="F192" s="15" t="s">
        <v>330</v>
      </c>
      <c r="G192" s="16">
        <v>1.0</v>
      </c>
      <c r="H192" s="16" t="str">
        <f>IFERROR(VLOOKUP(G192,'Costo x Articulo'!$B:$C,2,0),"")</f>
        <v>Budín de limón</v>
      </c>
      <c r="I192" s="16" t="s">
        <v>331</v>
      </c>
      <c r="J192" s="14">
        <v>1.0</v>
      </c>
      <c r="K192" s="14">
        <f>IFERROR(VLOOKUP(G192,'Costo x Articulo'!$B:$E,4,0)*J192,0)</f>
        <v>0</v>
      </c>
      <c r="L192" s="14">
        <f>IFERROR(VLOOKUP(G192,'Costo x Articulo'!$B:$E,3,0)*J192,0)</f>
        <v>10000</v>
      </c>
      <c r="M192" s="14">
        <f t="shared" si="12"/>
        <v>10000</v>
      </c>
      <c r="N192" s="1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2.75" customHeight="1">
      <c r="A193" s="2"/>
      <c r="B193" s="14">
        <v>64.0</v>
      </c>
      <c r="C193" s="15">
        <v>45066.0</v>
      </c>
      <c r="D193" s="25">
        <f t="shared" si="1"/>
        <v>2023</v>
      </c>
      <c r="E193" s="25">
        <f t="shared" si="2"/>
        <v>5</v>
      </c>
      <c r="F193" s="15" t="s">
        <v>332</v>
      </c>
      <c r="G193" s="16">
        <v>42.0</v>
      </c>
      <c r="H193" s="16" t="str">
        <f>IFERROR(VLOOKUP(G193,'Costo x Articulo'!$B:$C,2,0),"")</f>
        <v>Cheescake 22cm</v>
      </c>
      <c r="I193" s="16"/>
      <c r="J193" s="14">
        <v>1.0</v>
      </c>
      <c r="K193" s="14">
        <f>IFERROR(VLOOKUP(G193,'Costo x Articulo'!$B:$E,4,0)*J193,0)</f>
        <v>0</v>
      </c>
      <c r="L193" s="14">
        <f>IFERROR(VLOOKUP(G193,'Costo x Articulo'!$B:$E,3,0)*J193,0)</f>
        <v>20000</v>
      </c>
      <c r="M193" s="14">
        <f t="shared" si="12"/>
        <v>20000</v>
      </c>
      <c r="N193" s="1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2.75" customHeight="1">
      <c r="A194" s="2"/>
      <c r="B194" s="14">
        <v>65.0</v>
      </c>
      <c r="C194" s="15">
        <v>45066.0</v>
      </c>
      <c r="D194" s="25">
        <f t="shared" si="1"/>
        <v>2023</v>
      </c>
      <c r="E194" s="25">
        <f t="shared" si="2"/>
        <v>5</v>
      </c>
      <c r="F194" s="15" t="s">
        <v>333</v>
      </c>
      <c r="G194" s="16">
        <v>60.0</v>
      </c>
      <c r="H194" s="16" t="str">
        <f>IFERROR(VLOOKUP(G194,'Costo x Articulo'!$B:$C,2,0),"")</f>
        <v>Drip Cake 16 Cm</v>
      </c>
      <c r="I194" s="16"/>
      <c r="J194" s="14">
        <v>1.0</v>
      </c>
      <c r="K194" s="14">
        <f>IFERROR(VLOOKUP(G194,'Costo x Articulo'!$B:$E,4,0)*J194,0)</f>
        <v>0</v>
      </c>
      <c r="L194" s="14">
        <f>IFERROR(VLOOKUP(G194,'Costo x Articulo'!$B:$E,3,0)*J194,0)</f>
        <v>0</v>
      </c>
      <c r="M194" s="14">
        <f t="shared" si="12"/>
        <v>0</v>
      </c>
      <c r="N194" s="1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2.75" customHeight="1">
      <c r="A195" s="2"/>
      <c r="B195" s="14">
        <v>66.0</v>
      </c>
      <c r="C195" s="15">
        <v>45067.0</v>
      </c>
      <c r="D195" s="25">
        <f t="shared" si="1"/>
        <v>2023</v>
      </c>
      <c r="E195" s="25">
        <f t="shared" si="2"/>
        <v>5</v>
      </c>
      <c r="F195" s="15" t="s">
        <v>334</v>
      </c>
      <c r="G195" s="16">
        <v>60.0</v>
      </c>
      <c r="H195" s="16" t="str">
        <f>IFERROR(VLOOKUP(G195,'Costo x Articulo'!$B:$C,2,0),"")</f>
        <v>Drip Cake 16 Cm</v>
      </c>
      <c r="I195" s="16" t="s">
        <v>335</v>
      </c>
      <c r="J195" s="14">
        <v>1.0</v>
      </c>
      <c r="K195" s="14">
        <f>IFERROR(VLOOKUP(G195,'Costo x Articulo'!$B:$E,4,0)*J195,0)</f>
        <v>0</v>
      </c>
      <c r="L195" s="14">
        <f>IFERROR(VLOOKUP(G195,'Costo x Articulo'!$B:$E,3,0)*J195,0)</f>
        <v>0</v>
      </c>
      <c r="M195" s="14">
        <f t="shared" si="12"/>
        <v>0</v>
      </c>
      <c r="N195" s="1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2.75" customHeight="1">
      <c r="A196" s="2"/>
      <c r="B196" s="14">
        <v>67.0</v>
      </c>
      <c r="C196" s="15">
        <v>45068.0</v>
      </c>
      <c r="D196" s="25">
        <f t="shared" si="1"/>
        <v>2023</v>
      </c>
      <c r="E196" s="25">
        <f t="shared" si="2"/>
        <v>5</v>
      </c>
      <c r="F196" s="15" t="s">
        <v>336</v>
      </c>
      <c r="G196" s="16">
        <v>69.0</v>
      </c>
      <c r="H196" s="16" t="str">
        <f>IFERROR(VLOOKUP(G196,'Costo x Articulo'!$B:$C,2,0),"")</f>
        <v>pizzetas x 12 </v>
      </c>
      <c r="I196" s="16"/>
      <c r="J196" s="14">
        <v>4.0</v>
      </c>
      <c r="K196" s="14">
        <f>IFERROR(VLOOKUP(G196,'Costo x Articulo'!$B:$E,4,0)*J196,0)</f>
        <v>0</v>
      </c>
      <c r="L196" s="14">
        <f>IFERROR(VLOOKUP(G196,'Costo x Articulo'!$B:$E,3,0)*J196,0)</f>
        <v>0</v>
      </c>
      <c r="M196" s="14">
        <f t="shared" si="12"/>
        <v>0</v>
      </c>
      <c r="N196" s="1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2.75" customHeight="1">
      <c r="A197" s="2"/>
      <c r="B197" s="14">
        <v>68.0</v>
      </c>
      <c r="C197" s="15">
        <v>45068.0</v>
      </c>
      <c r="D197" s="25">
        <f t="shared" si="1"/>
        <v>2023</v>
      </c>
      <c r="E197" s="25">
        <f t="shared" si="2"/>
        <v>5</v>
      </c>
      <c r="F197" s="15" t="s">
        <v>336</v>
      </c>
      <c r="G197" s="16">
        <v>103.0</v>
      </c>
      <c r="H197" s="16" t="str">
        <f>IFERROR(VLOOKUP(G197,'Costo x Articulo'!$B:$C,2,0),"")</f>
        <v>Chips DOCENA </v>
      </c>
      <c r="I197" s="16"/>
      <c r="J197" s="14">
        <v>2.0</v>
      </c>
      <c r="K197" s="14">
        <f>IFERROR(VLOOKUP(G197,'Costo x Articulo'!$B:$E,4,0)*J197,0)</f>
        <v>0</v>
      </c>
      <c r="L197" s="14">
        <f>IFERROR(VLOOKUP(G197,'Costo x Articulo'!$B:$E,3,0)*J197,0)</f>
        <v>0</v>
      </c>
      <c r="M197" s="14">
        <f t="shared" si="12"/>
        <v>0</v>
      </c>
      <c r="N197" s="1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2.75" customHeight="1">
      <c r="A198" s="2"/>
      <c r="B198" s="14">
        <v>69.0</v>
      </c>
      <c r="C198" s="15">
        <v>45068.0</v>
      </c>
      <c r="D198" s="25">
        <f t="shared" si="1"/>
        <v>2023</v>
      </c>
      <c r="E198" s="25">
        <f t="shared" si="2"/>
        <v>5</v>
      </c>
      <c r="F198" s="15" t="s">
        <v>336</v>
      </c>
      <c r="G198" s="16">
        <v>28.0</v>
      </c>
      <c r="H198" s="16" t="str">
        <f>IFERROR(VLOOKUP(G198,'Costo x Articulo'!$B:$C,2,0),"")</f>
        <v>Cookies decoradas x 12u</v>
      </c>
      <c r="I198" s="16"/>
      <c r="J198" s="14">
        <v>1.0</v>
      </c>
      <c r="K198" s="14">
        <f>IFERROR(VLOOKUP(G198,'Costo x Articulo'!$B:$E,4,0)*J198,0)</f>
        <v>0</v>
      </c>
      <c r="L198" s="14">
        <f>IFERROR(VLOOKUP(G198,'Costo x Articulo'!$B:$E,3,0)*J198,0)</f>
        <v>0</v>
      </c>
      <c r="M198" s="14">
        <f t="shared" si="12"/>
        <v>0</v>
      </c>
      <c r="N198" s="1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2.75" customHeight="1">
      <c r="A199" s="2"/>
      <c r="B199" s="14">
        <v>70.0</v>
      </c>
      <c r="C199" s="15">
        <v>45069.0</v>
      </c>
      <c r="D199" s="25">
        <f t="shared" si="1"/>
        <v>2023</v>
      </c>
      <c r="E199" s="25">
        <f t="shared" si="2"/>
        <v>5</v>
      </c>
      <c r="F199" s="15" t="s">
        <v>337</v>
      </c>
      <c r="G199" s="16">
        <v>62.0</v>
      </c>
      <c r="H199" s="16" t="str">
        <f>IFERROR(VLOOKUP(G199,'Costo x Articulo'!$B:$C,2,0),"")</f>
        <v>buttercream 20  cm </v>
      </c>
      <c r="I199" s="16" t="s">
        <v>338</v>
      </c>
      <c r="J199" s="14">
        <v>1.0</v>
      </c>
      <c r="K199" s="14">
        <f>IFERROR(VLOOKUP(G199,'Costo x Articulo'!$B:$E,4,0)*J199,0)</f>
        <v>0</v>
      </c>
      <c r="L199" s="14">
        <f>IFERROR(VLOOKUP(G199,'Costo x Articulo'!$B:$E,3,0)*J199,0)</f>
        <v>35000</v>
      </c>
      <c r="M199" s="14">
        <f t="shared" si="12"/>
        <v>35000</v>
      </c>
      <c r="N199" s="1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2.75" customHeight="1">
      <c r="A200" s="2"/>
      <c r="B200" s="14">
        <v>71.0</v>
      </c>
      <c r="C200" s="15">
        <v>45071.0</v>
      </c>
      <c r="D200" s="25">
        <f t="shared" si="1"/>
        <v>2023</v>
      </c>
      <c r="E200" s="25">
        <f t="shared" si="2"/>
        <v>5</v>
      </c>
      <c r="F200" s="15" t="s">
        <v>339</v>
      </c>
      <c r="G200" s="16">
        <v>108.0</v>
      </c>
      <c r="H200" s="16" t="str">
        <f>IFERROR(VLOOKUP(G200,'Costo x Articulo'!$B:$C,2,0),"")</f>
        <v>Pastelitos nuevos</v>
      </c>
      <c r="I200" s="16"/>
      <c r="J200" s="14">
        <v>0.5</v>
      </c>
      <c r="K200" s="29">
        <f>IFERROR(VLOOKUP(G200,'Costo x Articulo'!$B:$E,4,0)*J200,0)</f>
        <v>0</v>
      </c>
      <c r="L200" s="14">
        <f>IFERROR(VLOOKUP(G200,'Costo x Articulo'!$B:$E,3,0)*J200,0)</f>
        <v>0</v>
      </c>
      <c r="M200" s="14">
        <f t="shared" si="12"/>
        <v>0</v>
      </c>
      <c r="N200" s="1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2.75" customHeight="1">
      <c r="A201" s="2"/>
      <c r="B201" s="14">
        <v>72.0</v>
      </c>
      <c r="C201" s="15">
        <v>45071.0</v>
      </c>
      <c r="D201" s="25">
        <f t="shared" si="1"/>
        <v>2023</v>
      </c>
      <c r="E201" s="25">
        <f t="shared" si="2"/>
        <v>5</v>
      </c>
      <c r="F201" s="15" t="s">
        <v>340</v>
      </c>
      <c r="G201" s="16">
        <v>108.0</v>
      </c>
      <c r="H201" s="16" t="str">
        <f>IFERROR(VLOOKUP(G201,'Costo x Articulo'!$B:$C,2,0),"")</f>
        <v>Pastelitos nuevos</v>
      </c>
      <c r="I201" s="16"/>
      <c r="J201" s="14">
        <v>1.0</v>
      </c>
      <c r="K201" s="14">
        <f>IFERROR(VLOOKUP(G201,'Costo x Articulo'!$B:$E,4,0)*J201,0)</f>
        <v>0</v>
      </c>
      <c r="L201" s="14">
        <f>IFERROR(VLOOKUP(G201,'Costo x Articulo'!$B:$E,3,0)*J201,0)</f>
        <v>0</v>
      </c>
      <c r="M201" s="14">
        <f t="shared" si="12"/>
        <v>0</v>
      </c>
      <c r="N201" s="1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2.75" customHeight="1">
      <c r="A202" s="2"/>
      <c r="B202" s="14">
        <v>73.0</v>
      </c>
      <c r="C202" s="15">
        <v>45072.0</v>
      </c>
      <c r="D202" s="25">
        <f t="shared" si="1"/>
        <v>2023</v>
      </c>
      <c r="E202" s="25">
        <f t="shared" si="2"/>
        <v>5</v>
      </c>
      <c r="F202" s="15" t="s">
        <v>341</v>
      </c>
      <c r="G202" s="16">
        <v>44.0</v>
      </c>
      <c r="H202" s="16" t="str">
        <f>IFERROR(VLOOKUP(G202,'Costo x Articulo'!$B:$C,2,0),"")</f>
        <v>Bizcho 20 cm pasta ballina</v>
      </c>
      <c r="I202" s="16" t="s">
        <v>342</v>
      </c>
      <c r="J202" s="14">
        <v>1.0</v>
      </c>
      <c r="K202" s="14">
        <f>IFERROR(VLOOKUP(G202,'Costo x Articulo'!$B:$E,4,0)*J202,0)</f>
        <v>0</v>
      </c>
      <c r="L202" s="14">
        <f>IFERROR(VLOOKUP(G202,'Costo x Articulo'!$B:$E,3,0)*J202,0)</f>
        <v>0</v>
      </c>
      <c r="M202" s="14">
        <f t="shared" si="12"/>
        <v>0</v>
      </c>
      <c r="N202" s="1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2.75" customHeight="1">
      <c r="A203" s="2"/>
      <c r="B203" s="14">
        <v>74.0</v>
      </c>
      <c r="C203" s="15">
        <v>45072.0</v>
      </c>
      <c r="D203" s="25">
        <f t="shared" si="1"/>
        <v>2023</v>
      </c>
      <c r="E203" s="25">
        <f t="shared" si="2"/>
        <v>5</v>
      </c>
      <c r="F203" s="15" t="s">
        <v>343</v>
      </c>
      <c r="G203" s="16">
        <v>1.0</v>
      </c>
      <c r="H203" s="16" t="str">
        <f>IFERROR(VLOOKUP(G203,'Costo x Articulo'!$B:$C,2,0),"")</f>
        <v>Budín de limón</v>
      </c>
      <c r="I203" s="16"/>
      <c r="J203" s="14">
        <v>2.0</v>
      </c>
      <c r="K203" s="14">
        <f>IFERROR(VLOOKUP(G203,'Costo x Articulo'!$B:$E,4,0)*J203,0)</f>
        <v>0</v>
      </c>
      <c r="L203" s="14">
        <f>IFERROR(VLOOKUP(G203,'Costo x Articulo'!$B:$E,3,0)*J203,0)</f>
        <v>20000</v>
      </c>
      <c r="M203" s="14">
        <f t="shared" si="12"/>
        <v>20000</v>
      </c>
      <c r="N203" s="1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2.75" customHeight="1">
      <c r="A204" s="2"/>
      <c r="B204" s="14">
        <v>75.0</v>
      </c>
      <c r="C204" s="15">
        <v>45072.0</v>
      </c>
      <c r="D204" s="25">
        <f t="shared" si="1"/>
        <v>2023</v>
      </c>
      <c r="E204" s="25">
        <f t="shared" si="2"/>
        <v>5</v>
      </c>
      <c r="F204" s="15" t="s">
        <v>344</v>
      </c>
      <c r="G204" s="16">
        <v>2.0</v>
      </c>
      <c r="H204" s="16" t="str">
        <f>IFERROR(VLOOKUP(G204,'Costo x Articulo'!$B:$C,2,0),"")</f>
        <v>Macarrons x 12 unidades</v>
      </c>
      <c r="I204" s="16"/>
      <c r="J204" s="14">
        <v>1.5</v>
      </c>
      <c r="K204" s="14">
        <f>IFERROR(VLOOKUP(G204,'Costo x Articulo'!$B:$E,4,0)*J204,0)</f>
        <v>0</v>
      </c>
      <c r="L204" s="14">
        <f>IFERROR(VLOOKUP(G204,'Costo x Articulo'!$B:$E,3,0)*J204,0)</f>
        <v>10500</v>
      </c>
      <c r="M204" s="14">
        <f t="shared" si="12"/>
        <v>10500</v>
      </c>
      <c r="N204" s="1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2.75" customHeight="1">
      <c r="A205" s="2"/>
      <c r="B205" s="14">
        <v>76.0</v>
      </c>
      <c r="C205" s="15">
        <v>45078.0</v>
      </c>
      <c r="D205" s="25">
        <f t="shared" si="1"/>
        <v>2023</v>
      </c>
      <c r="E205" s="25">
        <f t="shared" si="2"/>
        <v>6</v>
      </c>
      <c r="F205" s="15" t="s">
        <v>345</v>
      </c>
      <c r="G205" s="16">
        <v>44.0</v>
      </c>
      <c r="H205" s="16" t="str">
        <f>IFERROR(VLOOKUP(G205,'Costo x Articulo'!$B:$C,2,0),"")</f>
        <v>Bizcho 20 cm pasta ballina</v>
      </c>
      <c r="I205" s="16" t="s">
        <v>346</v>
      </c>
      <c r="J205" s="14">
        <v>1.0</v>
      </c>
      <c r="K205" s="14">
        <f>IFERROR(VLOOKUP(G205,'Costo x Articulo'!$B:$E,4,0)*J205,0)</f>
        <v>0</v>
      </c>
      <c r="L205" s="14">
        <f>IFERROR(VLOOKUP(G205,'Costo x Articulo'!$B:$E,3,0)*J205,0)</f>
        <v>0</v>
      </c>
      <c r="M205" s="14">
        <f t="shared" si="12"/>
        <v>0</v>
      </c>
      <c r="N205" s="1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2.75" customHeight="1">
      <c r="A206" s="2"/>
      <c r="B206" s="14">
        <v>77.0</v>
      </c>
      <c r="C206" s="15">
        <v>45079.0</v>
      </c>
      <c r="D206" s="25">
        <f t="shared" si="1"/>
        <v>2023</v>
      </c>
      <c r="E206" s="25">
        <f t="shared" si="2"/>
        <v>6</v>
      </c>
      <c r="F206" s="15" t="s">
        <v>347</v>
      </c>
      <c r="G206" s="16">
        <v>2.0</v>
      </c>
      <c r="H206" s="16" t="str">
        <f>IFERROR(VLOOKUP(G206,'Costo x Articulo'!$B:$C,2,0),"")</f>
        <v>Macarrons x 12 unidades</v>
      </c>
      <c r="I206" s="16"/>
      <c r="J206" s="14">
        <v>1.0</v>
      </c>
      <c r="K206" s="14">
        <f>IFERROR(VLOOKUP(G206,'Costo x Articulo'!$B:$E,4,0)*J206,0)</f>
        <v>0</v>
      </c>
      <c r="L206" s="14">
        <f>IFERROR(VLOOKUP(G206,'Costo x Articulo'!$B:$E,3,0)*J206,0)</f>
        <v>7000</v>
      </c>
      <c r="M206" s="14">
        <f t="shared" si="12"/>
        <v>7000</v>
      </c>
      <c r="N206" s="1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2.75" customHeight="1">
      <c r="A207" s="2"/>
      <c r="B207" s="14">
        <v>78.0</v>
      </c>
      <c r="C207" s="15">
        <v>45079.0</v>
      </c>
      <c r="D207" s="25">
        <f t="shared" si="1"/>
        <v>2023</v>
      </c>
      <c r="E207" s="25">
        <f t="shared" si="2"/>
        <v>6</v>
      </c>
      <c r="F207" s="15" t="s">
        <v>348</v>
      </c>
      <c r="G207" s="16">
        <v>23.0</v>
      </c>
      <c r="H207" s="16" t="str">
        <f>IFERROR(VLOOKUP(G207,'Costo x Articulo'!$B:$C,2,0),"")</f>
        <v>Tarta de Manzana 22cm</v>
      </c>
      <c r="I207" s="16" t="s">
        <v>349</v>
      </c>
      <c r="J207" s="14">
        <v>1.0</v>
      </c>
      <c r="K207" s="14">
        <f>IFERROR(VLOOKUP(G207,'Costo x Articulo'!$B:$E,4,0)*J207,0)</f>
        <v>0</v>
      </c>
      <c r="L207" s="14">
        <f>IFERROR(VLOOKUP(G207,'Costo x Articulo'!$B:$E,3,0)*J207,0)</f>
        <v>13000</v>
      </c>
      <c r="M207" s="14">
        <f t="shared" si="12"/>
        <v>13000</v>
      </c>
      <c r="N207" s="1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2.75" customHeight="1">
      <c r="A208" s="2"/>
      <c r="B208" s="14">
        <v>79.0</v>
      </c>
      <c r="C208" s="15">
        <v>45094.0</v>
      </c>
      <c r="D208" s="25">
        <f t="shared" si="1"/>
        <v>2023</v>
      </c>
      <c r="E208" s="25">
        <f t="shared" si="2"/>
        <v>6</v>
      </c>
      <c r="F208" s="15" t="s">
        <v>350</v>
      </c>
      <c r="G208" s="16">
        <v>110.0</v>
      </c>
      <c r="H208" s="16" t="str">
        <f>IFERROR(VLOOKUP(G208,'Costo x Articulo'!$B:$C,2,0),"")</f>
        <v>Desayuno Día del Padre 2023</v>
      </c>
      <c r="I208" s="30" t="s">
        <v>351</v>
      </c>
      <c r="J208" s="14">
        <v>1.0</v>
      </c>
      <c r="K208" s="14">
        <f>IFERROR(VLOOKUP(G208,'Costo x Articulo'!$B:$E,4,0)*J208,0)</f>
        <v>0</v>
      </c>
      <c r="L208" s="14">
        <f>IFERROR(VLOOKUP(G208,'Costo x Articulo'!$B:$E,3,0)*J208,0)</f>
        <v>0</v>
      </c>
      <c r="M208" s="14">
        <f t="shared" si="12"/>
        <v>0</v>
      </c>
      <c r="N208" s="16" t="s">
        <v>352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2.75" customHeight="1">
      <c r="A209" s="2"/>
      <c r="B209" s="14">
        <v>80.0</v>
      </c>
      <c r="C209" s="15">
        <v>45094.0</v>
      </c>
      <c r="D209" s="25">
        <f t="shared" si="1"/>
        <v>2023</v>
      </c>
      <c r="E209" s="25">
        <f t="shared" si="2"/>
        <v>6</v>
      </c>
      <c r="F209" s="15" t="s">
        <v>82</v>
      </c>
      <c r="G209" s="16">
        <v>110.0</v>
      </c>
      <c r="H209" s="16" t="str">
        <f>IFERROR(VLOOKUP(G209,'Costo x Articulo'!$B:$C,2,0),"")</f>
        <v>Desayuno Día del Padre 2023</v>
      </c>
      <c r="I209" s="16"/>
      <c r="J209" s="14">
        <v>1.0</v>
      </c>
      <c r="K209" s="14">
        <f>IFERROR(VLOOKUP(G209,'Costo x Articulo'!$B:$E,4,0)*J209,0)</f>
        <v>0</v>
      </c>
      <c r="L209" s="14">
        <f>IFERROR(VLOOKUP(G209,'Costo x Articulo'!$B:$E,3,0)*J209,0)</f>
        <v>0</v>
      </c>
      <c r="M209" s="14">
        <f t="shared" si="12"/>
        <v>0</v>
      </c>
      <c r="N209" s="1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2.75" customHeight="1">
      <c r="A210" s="2"/>
      <c r="B210" s="14">
        <v>81.0</v>
      </c>
      <c r="C210" s="15">
        <v>45094.0</v>
      </c>
      <c r="D210" s="25">
        <f t="shared" si="1"/>
        <v>2023</v>
      </c>
      <c r="E210" s="25">
        <f t="shared" si="2"/>
        <v>6</v>
      </c>
      <c r="F210" s="15" t="s">
        <v>353</v>
      </c>
      <c r="G210" s="16">
        <v>110.0</v>
      </c>
      <c r="H210" s="16" t="str">
        <f>IFERROR(VLOOKUP(G210,'Costo x Articulo'!$B:$C,2,0),"")</f>
        <v>Desayuno Día del Padre 2023</v>
      </c>
      <c r="I210" s="16"/>
      <c r="J210" s="14">
        <v>3.0</v>
      </c>
      <c r="K210" s="14">
        <f>IFERROR(VLOOKUP(G210,'Costo x Articulo'!$B:$E,4,0)*J210,0)</f>
        <v>0</v>
      </c>
      <c r="L210" s="14">
        <f>IFERROR(VLOOKUP(G210,'Costo x Articulo'!$B:$E,3,0)*J210,0)</f>
        <v>0</v>
      </c>
      <c r="M210" s="14">
        <f t="shared" si="12"/>
        <v>0</v>
      </c>
      <c r="N210" s="1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2.75" customHeight="1">
      <c r="A211" s="2"/>
      <c r="B211" s="14">
        <v>81.0</v>
      </c>
      <c r="C211" s="15">
        <v>45122.0</v>
      </c>
      <c r="D211" s="25">
        <f t="shared" si="1"/>
        <v>2023</v>
      </c>
      <c r="E211" s="25">
        <f t="shared" si="2"/>
        <v>7</v>
      </c>
      <c r="F211" s="15" t="s">
        <v>354</v>
      </c>
      <c r="G211" s="16">
        <v>6.0</v>
      </c>
      <c r="H211" s="16" t="str">
        <f>IFERROR(VLOOKUP(G211,'Costo x Articulo'!$B:$C,2,0),"")</f>
        <v>Torta brownie 20x20cm</v>
      </c>
      <c r="I211" s="16"/>
      <c r="J211" s="14">
        <v>1.0</v>
      </c>
      <c r="K211" s="14">
        <f>IFERROR(VLOOKUP(G211,'Costo x Articulo'!$B:$E,4,0)*J211,0)</f>
        <v>0</v>
      </c>
      <c r="L211" s="14">
        <f>IFERROR(VLOOKUP(G211,'Costo x Articulo'!$B:$E,3,0)*J211,0)</f>
        <v>20000</v>
      </c>
      <c r="M211" s="14">
        <f t="shared" si="12"/>
        <v>20000</v>
      </c>
      <c r="N211" s="1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2.75" customHeight="1">
      <c r="A212" s="2"/>
      <c r="B212" s="14">
        <v>82.0</v>
      </c>
      <c r="C212" s="15">
        <v>45122.0</v>
      </c>
      <c r="D212" s="25">
        <f t="shared" si="1"/>
        <v>2023</v>
      </c>
      <c r="E212" s="25">
        <f t="shared" si="2"/>
        <v>7</v>
      </c>
      <c r="F212" s="15" t="s">
        <v>355</v>
      </c>
      <c r="G212" s="16">
        <v>6.0</v>
      </c>
      <c r="H212" s="16" t="str">
        <f>IFERROR(VLOOKUP(G212,'Costo x Articulo'!$B:$C,2,0),"")</f>
        <v>Torta brownie 20x20cm</v>
      </c>
      <c r="I212" s="16"/>
      <c r="J212" s="14">
        <v>1.0</v>
      </c>
      <c r="K212" s="14">
        <f>IFERROR(VLOOKUP(G212,'Costo x Articulo'!$B:$E,4,0)*J212,0)</f>
        <v>0</v>
      </c>
      <c r="L212" s="14">
        <f>IFERROR(VLOOKUP(G212,'Costo x Articulo'!$B:$E,3,0)*J212,0)</f>
        <v>20000</v>
      </c>
      <c r="M212" s="14">
        <f t="shared" si="12"/>
        <v>20000</v>
      </c>
      <c r="N212" s="1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2.75" customHeight="1">
      <c r="A213" s="2"/>
      <c r="B213" s="14">
        <v>83.0</v>
      </c>
      <c r="C213" s="15">
        <v>45123.0</v>
      </c>
      <c r="D213" s="25">
        <f t="shared" si="1"/>
        <v>2023</v>
      </c>
      <c r="E213" s="25">
        <f t="shared" si="2"/>
        <v>7</v>
      </c>
      <c r="F213" s="15" t="s">
        <v>179</v>
      </c>
      <c r="G213" s="16">
        <v>96.0</v>
      </c>
      <c r="H213" s="16" t="str">
        <f>IFERROR(VLOOKUP(G213,'Costo x Articulo'!$B:$C,2,0),"")</f>
        <v>Chocotorta rectangular 20x30 cm</v>
      </c>
      <c r="I213" s="16"/>
      <c r="J213" s="14">
        <v>1.0</v>
      </c>
      <c r="K213" s="14">
        <f>IFERROR(VLOOKUP(G213,'Costo x Articulo'!$B:$E,4,0)*J213,0)</f>
        <v>0</v>
      </c>
      <c r="L213" s="14">
        <f>IFERROR(VLOOKUP(G213,'Costo x Articulo'!$B:$E,3,0)*J213,0)</f>
        <v>0</v>
      </c>
      <c r="M213" s="14">
        <f t="shared" si="12"/>
        <v>0</v>
      </c>
      <c r="N213" s="1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2.75" customHeight="1">
      <c r="A214" s="2"/>
      <c r="B214" s="14">
        <v>84.0</v>
      </c>
      <c r="C214" s="15">
        <v>45123.0</v>
      </c>
      <c r="D214" s="25">
        <f t="shared" si="1"/>
        <v>2023</v>
      </c>
      <c r="E214" s="25">
        <f t="shared" si="2"/>
        <v>7</v>
      </c>
      <c r="F214" s="15" t="s">
        <v>179</v>
      </c>
      <c r="G214" s="16">
        <v>1.0</v>
      </c>
      <c r="H214" s="16" t="str">
        <f>IFERROR(VLOOKUP(G214,'Costo x Articulo'!$B:$C,2,0),"")</f>
        <v>Budín de limón</v>
      </c>
      <c r="I214" s="16"/>
      <c r="J214" s="14">
        <v>4.0</v>
      </c>
      <c r="K214" s="14">
        <f>IFERROR(VLOOKUP(G214,'Costo x Articulo'!$B:$E,4,0)*J214,0)</f>
        <v>0</v>
      </c>
      <c r="L214" s="14">
        <f>IFERROR(VLOOKUP(G214,'Costo x Articulo'!$B:$E,3,0)*J214,0)</f>
        <v>40000</v>
      </c>
      <c r="M214" s="14">
        <f t="shared" si="12"/>
        <v>40000</v>
      </c>
      <c r="N214" s="1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2.75" customHeight="1">
      <c r="A215" s="2"/>
      <c r="B215" s="14">
        <v>85.0</v>
      </c>
      <c r="C215" s="15">
        <v>45123.0</v>
      </c>
      <c r="D215" s="25">
        <f t="shared" si="1"/>
        <v>2023</v>
      </c>
      <c r="E215" s="25">
        <f t="shared" si="2"/>
        <v>7</v>
      </c>
      <c r="F215" s="15" t="s">
        <v>179</v>
      </c>
      <c r="G215" s="16">
        <v>28.0</v>
      </c>
      <c r="H215" s="16" t="str">
        <f>IFERROR(VLOOKUP(G215,'Costo x Articulo'!$B:$C,2,0),"")</f>
        <v>Cookies decoradas x 12u</v>
      </c>
      <c r="I215" s="16"/>
      <c r="J215" s="14">
        <v>1.0</v>
      </c>
      <c r="K215" s="14">
        <f>IFERROR(VLOOKUP(G215,'Costo x Articulo'!$B:$E,4,0)*J215,0)</f>
        <v>0</v>
      </c>
      <c r="L215" s="14">
        <f>IFERROR(VLOOKUP(G215,'Costo x Articulo'!$B:$E,3,0)*J215,0)</f>
        <v>0</v>
      </c>
      <c r="M215" s="14">
        <f t="shared" si="12"/>
        <v>0</v>
      </c>
      <c r="N215" s="1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2.75" customHeight="1">
      <c r="A216" s="2"/>
      <c r="B216" s="14">
        <v>86.0</v>
      </c>
      <c r="C216" s="15"/>
      <c r="D216" s="25" t="str">
        <f t="shared" si="1"/>
        <v/>
      </c>
      <c r="E216" s="25" t="str">
        <f t="shared" si="2"/>
        <v/>
      </c>
      <c r="F216" s="15"/>
      <c r="G216" s="16"/>
      <c r="H216" s="16" t="str">
        <f>IFERROR(VLOOKUP(G216,'Costo x Articulo'!$B:$C,2,0),"")</f>
        <v/>
      </c>
      <c r="I216" s="16"/>
      <c r="J216" s="14"/>
      <c r="K216" s="14">
        <f>IFERROR(VLOOKUP(G216,'Costo x Articulo'!$B:$E,4,0)*J216,0)</f>
        <v>0</v>
      </c>
      <c r="L216" s="14">
        <f>IFERROR(VLOOKUP(G216,'Costo x Articulo'!$B:$E,3,0)*J216,0)</f>
        <v>0</v>
      </c>
      <c r="M216" s="14">
        <f t="shared" si="12"/>
        <v>0</v>
      </c>
      <c r="N216" s="1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2.75" customHeight="1">
      <c r="A217" s="2"/>
      <c r="B217" s="14"/>
      <c r="C217" s="15"/>
      <c r="D217" s="25" t="str">
        <f t="shared" si="1"/>
        <v/>
      </c>
      <c r="E217" s="25" t="str">
        <f t="shared" si="2"/>
        <v/>
      </c>
      <c r="F217" s="15"/>
      <c r="G217" s="16"/>
      <c r="H217" s="16" t="str">
        <f>IFERROR(VLOOKUP(G217,'Costo x Articulo'!$B:$C,2,0),"")</f>
        <v/>
      </c>
      <c r="I217" s="16"/>
      <c r="J217" s="14"/>
      <c r="K217" s="14">
        <f>IFERROR(VLOOKUP(G217,'Costo x Articulo'!$B:$E,4,0)*J217,0)</f>
        <v>0</v>
      </c>
      <c r="L217" s="14">
        <f>IFERROR(VLOOKUP(G217,'Costo x Articulo'!$B:$E,3,0)*J217,0)</f>
        <v>0</v>
      </c>
      <c r="M217" s="14">
        <f t="shared" si="12"/>
        <v>0</v>
      </c>
      <c r="N217" s="1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2.75" customHeight="1">
      <c r="A218" s="2"/>
      <c r="B218" s="14"/>
      <c r="C218" s="15"/>
      <c r="D218" s="25" t="str">
        <f t="shared" si="1"/>
        <v/>
      </c>
      <c r="E218" s="25" t="str">
        <f t="shared" si="2"/>
        <v/>
      </c>
      <c r="F218" s="15"/>
      <c r="G218" s="16"/>
      <c r="H218" s="16" t="str">
        <f>IFERROR(VLOOKUP(G218,'Costo x Articulo'!$B:$C,2,0),"")</f>
        <v/>
      </c>
      <c r="I218" s="16"/>
      <c r="J218" s="14"/>
      <c r="K218" s="14">
        <f>IFERROR(VLOOKUP(G218,'Costo x Articulo'!$B:$E,4,0)*J218,0)</f>
        <v>0</v>
      </c>
      <c r="L218" s="14">
        <f>IFERROR(VLOOKUP(G218,'Costo x Articulo'!$B:$E,3,0)*J218,0)</f>
        <v>0</v>
      </c>
      <c r="M218" s="14">
        <f t="shared" si="12"/>
        <v>0</v>
      </c>
      <c r="N218" s="1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2.75" customHeight="1">
      <c r="A219" s="2"/>
      <c r="B219" s="14"/>
      <c r="C219" s="15"/>
      <c r="D219" s="25" t="str">
        <f t="shared" si="1"/>
        <v/>
      </c>
      <c r="E219" s="25" t="str">
        <f t="shared" si="2"/>
        <v/>
      </c>
      <c r="F219" s="15"/>
      <c r="G219" s="16"/>
      <c r="H219" s="16" t="str">
        <f>IFERROR(VLOOKUP(G219,'Costo x Articulo'!$B:$C,2,0),"")</f>
        <v/>
      </c>
      <c r="I219" s="16"/>
      <c r="J219" s="14"/>
      <c r="K219" s="14">
        <f>IFERROR(VLOOKUP(G219,'Costo x Articulo'!$B:$E,4,0)*J219,0)</f>
        <v>0</v>
      </c>
      <c r="L219" s="14">
        <f>IFERROR(VLOOKUP(G219,'Costo x Articulo'!$B:$E,3,0)*J219,0)</f>
        <v>0</v>
      </c>
      <c r="M219" s="14">
        <f t="shared" si="12"/>
        <v>0</v>
      </c>
      <c r="N219" s="1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2.75" customHeight="1">
      <c r="A220" s="2"/>
      <c r="B220" s="14"/>
      <c r="C220" s="15"/>
      <c r="D220" s="25" t="str">
        <f t="shared" si="1"/>
        <v/>
      </c>
      <c r="E220" s="25" t="str">
        <f t="shared" si="2"/>
        <v/>
      </c>
      <c r="F220" s="15"/>
      <c r="G220" s="16"/>
      <c r="H220" s="16" t="str">
        <f>IFERROR(VLOOKUP(G220,'Costo x Articulo'!$B:$C,2,0),"")</f>
        <v/>
      </c>
      <c r="I220" s="16"/>
      <c r="J220" s="14"/>
      <c r="K220" s="14">
        <f>IFERROR(VLOOKUP(G220,'Costo x Articulo'!$B:$E,4,0)*J220,0)</f>
        <v>0</v>
      </c>
      <c r="L220" s="14">
        <f>IFERROR(VLOOKUP(G220,'Costo x Articulo'!$B:$E,3,0)*J220,0)</f>
        <v>0</v>
      </c>
      <c r="M220" s="14">
        <f t="shared" si="12"/>
        <v>0</v>
      </c>
      <c r="N220" s="1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2.75" customHeight="1">
      <c r="A221" s="2"/>
      <c r="B221" s="14"/>
      <c r="C221" s="15"/>
      <c r="D221" s="25" t="str">
        <f t="shared" si="1"/>
        <v/>
      </c>
      <c r="E221" s="25" t="str">
        <f t="shared" si="2"/>
        <v/>
      </c>
      <c r="F221" s="15"/>
      <c r="G221" s="16"/>
      <c r="H221" s="16" t="str">
        <f>IFERROR(VLOOKUP(G221,'Costo x Articulo'!$B:$C,2,0),"")</f>
        <v/>
      </c>
      <c r="I221" s="16"/>
      <c r="J221" s="14"/>
      <c r="K221" s="14">
        <f>IFERROR(VLOOKUP(G221,'Costo x Articulo'!$B:$E,4,0)*J221,0)</f>
        <v>0</v>
      </c>
      <c r="L221" s="14">
        <f>IFERROR(VLOOKUP(G221,'Costo x Articulo'!$B:$E,3,0)*J221,0)</f>
        <v>0</v>
      </c>
      <c r="M221" s="14">
        <f t="shared" si="12"/>
        <v>0</v>
      </c>
      <c r="N221" s="1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2.75" customHeight="1">
      <c r="A222" s="2"/>
      <c r="B222" s="14"/>
      <c r="C222" s="15"/>
      <c r="D222" s="25" t="str">
        <f t="shared" si="1"/>
        <v/>
      </c>
      <c r="E222" s="25" t="str">
        <f t="shared" si="2"/>
        <v/>
      </c>
      <c r="F222" s="15"/>
      <c r="G222" s="16"/>
      <c r="H222" s="16" t="str">
        <f>IFERROR(VLOOKUP(G222,'Costo x Articulo'!$B:$C,2,0),"")</f>
        <v/>
      </c>
      <c r="I222" s="16"/>
      <c r="J222" s="14"/>
      <c r="K222" s="14">
        <f>IFERROR(VLOOKUP(G222,'Costo x Articulo'!$B:$E,4,0)*J222,0)</f>
        <v>0</v>
      </c>
      <c r="L222" s="14">
        <f>IFERROR(VLOOKUP(G222,'Costo x Articulo'!$B:$E,3,0)*J222,0)</f>
        <v>0</v>
      </c>
      <c r="M222" s="14">
        <f t="shared" si="12"/>
        <v>0</v>
      </c>
      <c r="N222" s="1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2.75" customHeight="1">
      <c r="A223" s="2"/>
      <c r="B223" s="14"/>
      <c r="C223" s="15"/>
      <c r="D223" s="25" t="str">
        <f t="shared" si="1"/>
        <v/>
      </c>
      <c r="E223" s="25" t="str">
        <f t="shared" si="2"/>
        <v/>
      </c>
      <c r="F223" s="15"/>
      <c r="G223" s="16"/>
      <c r="H223" s="16" t="str">
        <f>IFERROR(VLOOKUP(G223,'Costo x Articulo'!$B:$C,2,0),"")</f>
        <v/>
      </c>
      <c r="I223" s="16"/>
      <c r="J223" s="14"/>
      <c r="K223" s="14">
        <f>IFERROR(VLOOKUP(G223,'Costo x Articulo'!$B:$E,4,0)*J223,0)</f>
        <v>0</v>
      </c>
      <c r="L223" s="14">
        <f>IFERROR(VLOOKUP(G223,'Costo x Articulo'!$B:$E,3,0)*J223,0)</f>
        <v>0</v>
      </c>
      <c r="M223" s="14">
        <f t="shared" si="12"/>
        <v>0</v>
      </c>
      <c r="N223" s="1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2.75" customHeight="1">
      <c r="A224" s="2"/>
      <c r="B224" s="14"/>
      <c r="C224" s="15"/>
      <c r="D224" s="25" t="str">
        <f t="shared" si="1"/>
        <v/>
      </c>
      <c r="E224" s="25" t="str">
        <f t="shared" si="2"/>
        <v/>
      </c>
      <c r="F224" s="15"/>
      <c r="G224" s="16"/>
      <c r="H224" s="16" t="str">
        <f>IFERROR(VLOOKUP(G224,'Costo x Articulo'!$B:$C,2,0),"")</f>
        <v/>
      </c>
      <c r="I224" s="16"/>
      <c r="J224" s="14"/>
      <c r="K224" s="14">
        <f>IFERROR(VLOOKUP(G224,'Costo x Articulo'!$B:$E,4,0)*J224,0)</f>
        <v>0</v>
      </c>
      <c r="L224" s="14">
        <f>IFERROR(VLOOKUP(G224,'Costo x Articulo'!$B:$E,3,0)*J224,0)</f>
        <v>0</v>
      </c>
      <c r="M224" s="14">
        <f t="shared" si="12"/>
        <v>0</v>
      </c>
      <c r="N224" s="1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2.75" customHeight="1">
      <c r="A225" s="2"/>
      <c r="B225" s="14"/>
      <c r="C225" s="15"/>
      <c r="D225" s="25" t="str">
        <f t="shared" si="1"/>
        <v/>
      </c>
      <c r="E225" s="25" t="str">
        <f t="shared" si="2"/>
        <v/>
      </c>
      <c r="F225" s="15"/>
      <c r="G225" s="16"/>
      <c r="H225" s="16" t="str">
        <f>IFERROR(VLOOKUP(G225,'Costo x Articulo'!$B:$C,2,0),"")</f>
        <v/>
      </c>
      <c r="I225" s="16"/>
      <c r="J225" s="14"/>
      <c r="K225" s="14">
        <f>IFERROR(VLOOKUP(G225,'Costo x Articulo'!$B:$E,4,0)*J225,0)</f>
        <v>0</v>
      </c>
      <c r="L225" s="14">
        <f>IFERROR(VLOOKUP(G225,'Costo x Articulo'!$B:$E,3,0)*J225,0)</f>
        <v>0</v>
      </c>
      <c r="M225" s="14">
        <f t="shared" si="12"/>
        <v>0</v>
      </c>
      <c r="N225" s="1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2.75" customHeight="1">
      <c r="A226" s="2"/>
      <c r="B226" s="14"/>
      <c r="C226" s="15"/>
      <c r="D226" s="25" t="str">
        <f t="shared" si="1"/>
        <v/>
      </c>
      <c r="E226" s="25" t="str">
        <f t="shared" si="2"/>
        <v/>
      </c>
      <c r="F226" s="15"/>
      <c r="G226" s="16"/>
      <c r="H226" s="16" t="str">
        <f>IFERROR(VLOOKUP(G226,'Costo x Articulo'!$B:$C,2,0),"")</f>
        <v/>
      </c>
      <c r="I226" s="16"/>
      <c r="J226" s="14"/>
      <c r="K226" s="14">
        <f>IFERROR(VLOOKUP(G226,'Costo x Articulo'!$B:$E,4,0)*J226,0)</f>
        <v>0</v>
      </c>
      <c r="L226" s="14">
        <f>IFERROR(VLOOKUP(G226,'Costo x Articulo'!$B:$E,3,0)*J226,0)</f>
        <v>0</v>
      </c>
      <c r="M226" s="14">
        <f t="shared" si="12"/>
        <v>0</v>
      </c>
      <c r="N226" s="1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2.75" customHeight="1">
      <c r="A227" s="2"/>
      <c r="B227" s="14"/>
      <c r="C227" s="15"/>
      <c r="D227" s="25" t="str">
        <f t="shared" si="1"/>
        <v/>
      </c>
      <c r="E227" s="25" t="str">
        <f t="shared" si="2"/>
        <v/>
      </c>
      <c r="F227" s="15"/>
      <c r="G227" s="16"/>
      <c r="H227" s="16" t="str">
        <f>IFERROR(VLOOKUP(G227,'Costo x Articulo'!$B:$C,2,0),"")</f>
        <v/>
      </c>
      <c r="I227" s="16"/>
      <c r="J227" s="14"/>
      <c r="K227" s="14">
        <f>IFERROR(VLOOKUP(G227,'Costo x Articulo'!$B:$E,4,0)*J227,0)</f>
        <v>0</v>
      </c>
      <c r="L227" s="14">
        <f>IFERROR(VLOOKUP(G227,'Costo x Articulo'!$B:$E,3,0)*J227,0)</f>
        <v>0</v>
      </c>
      <c r="M227" s="14">
        <f t="shared" si="12"/>
        <v>0</v>
      </c>
      <c r="N227" s="1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2.75" customHeight="1">
      <c r="A228" s="2"/>
      <c r="B228" s="14"/>
      <c r="C228" s="15"/>
      <c r="D228" s="25" t="str">
        <f t="shared" si="1"/>
        <v/>
      </c>
      <c r="E228" s="25" t="str">
        <f t="shared" si="2"/>
        <v/>
      </c>
      <c r="F228" s="15"/>
      <c r="G228" s="16"/>
      <c r="H228" s="16" t="str">
        <f>IFERROR(VLOOKUP(G228,'Costo x Articulo'!$B:$C,2,0),"")</f>
        <v/>
      </c>
      <c r="I228" s="16"/>
      <c r="J228" s="14"/>
      <c r="K228" s="14">
        <f>IFERROR(VLOOKUP(G228,'Costo x Articulo'!$B:$E,4,0)*J228,0)</f>
        <v>0</v>
      </c>
      <c r="L228" s="14">
        <f>IFERROR(VLOOKUP(G228,'Costo x Articulo'!$B:$E,3,0)*J228,0)</f>
        <v>0</v>
      </c>
      <c r="M228" s="14">
        <f t="shared" si="12"/>
        <v>0</v>
      </c>
      <c r="N228" s="1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2.75" customHeight="1">
      <c r="A229" s="2"/>
      <c r="B229" s="14"/>
      <c r="C229" s="15"/>
      <c r="D229" s="25" t="str">
        <f t="shared" si="1"/>
        <v/>
      </c>
      <c r="E229" s="25" t="str">
        <f t="shared" si="2"/>
        <v/>
      </c>
      <c r="F229" s="15"/>
      <c r="G229" s="16"/>
      <c r="H229" s="16" t="str">
        <f>IFERROR(VLOOKUP(G229,'Costo x Articulo'!$B:$C,2,0),"")</f>
        <v/>
      </c>
      <c r="I229" s="16"/>
      <c r="J229" s="14"/>
      <c r="K229" s="14">
        <f>IFERROR(VLOOKUP(G229,'Costo x Articulo'!$B:$E,4,0)*J229,0)</f>
        <v>0</v>
      </c>
      <c r="L229" s="14">
        <f>IFERROR(VLOOKUP(G229,'Costo x Articulo'!$B:$E,3,0)*J229,0)</f>
        <v>0</v>
      </c>
      <c r="M229" s="14">
        <f t="shared" si="12"/>
        <v>0</v>
      </c>
      <c r="N229" s="1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2.75" customHeight="1">
      <c r="A230" s="2"/>
      <c r="B230" s="14"/>
      <c r="C230" s="15"/>
      <c r="D230" s="25" t="str">
        <f t="shared" si="1"/>
        <v/>
      </c>
      <c r="E230" s="25" t="str">
        <f t="shared" si="2"/>
        <v/>
      </c>
      <c r="F230" s="15"/>
      <c r="G230" s="16"/>
      <c r="H230" s="16" t="str">
        <f>IFERROR(VLOOKUP(G230,'Costo x Articulo'!$B:$C,2,0),"")</f>
        <v/>
      </c>
      <c r="I230" s="16"/>
      <c r="J230" s="14"/>
      <c r="K230" s="14">
        <f>IFERROR(VLOOKUP(G230,'Costo x Articulo'!$B:$E,4,0)*J230,0)</f>
        <v>0</v>
      </c>
      <c r="L230" s="14">
        <f>IFERROR(VLOOKUP(G230,'Costo x Articulo'!$B:$E,3,0)*J230,0)</f>
        <v>0</v>
      </c>
      <c r="M230" s="14">
        <f t="shared" si="12"/>
        <v>0</v>
      </c>
      <c r="N230" s="1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2.75" customHeight="1">
      <c r="A231" s="2"/>
      <c r="B231" s="14"/>
      <c r="C231" s="15"/>
      <c r="D231" s="25" t="str">
        <f t="shared" si="1"/>
        <v/>
      </c>
      <c r="E231" s="25" t="str">
        <f t="shared" si="2"/>
        <v/>
      </c>
      <c r="F231" s="15"/>
      <c r="G231" s="16"/>
      <c r="H231" s="16" t="str">
        <f>IFERROR(VLOOKUP(G231,'Costo x Articulo'!$B:$C,2,0),"")</f>
        <v/>
      </c>
      <c r="I231" s="16"/>
      <c r="J231" s="14"/>
      <c r="K231" s="14">
        <f>IFERROR(VLOOKUP(G231,'Costo x Articulo'!$B:$E,4,0)*J231,0)</f>
        <v>0</v>
      </c>
      <c r="L231" s="14">
        <f>IFERROR(VLOOKUP(G231,'Costo x Articulo'!$B:$E,3,0)*J231,0)</f>
        <v>0</v>
      </c>
      <c r="M231" s="14">
        <f t="shared" si="12"/>
        <v>0</v>
      </c>
      <c r="N231" s="1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2.75" customHeight="1">
      <c r="A232" s="2"/>
      <c r="B232" s="14"/>
      <c r="C232" s="15"/>
      <c r="D232" s="25" t="str">
        <f t="shared" si="1"/>
        <v/>
      </c>
      <c r="E232" s="25" t="str">
        <f t="shared" si="2"/>
        <v/>
      </c>
      <c r="F232" s="15"/>
      <c r="G232" s="16"/>
      <c r="H232" s="16" t="str">
        <f>IFERROR(VLOOKUP(G232,'Costo x Articulo'!$B:$C,2,0),"")</f>
        <v/>
      </c>
      <c r="I232" s="16"/>
      <c r="J232" s="14"/>
      <c r="K232" s="14">
        <f>IFERROR(VLOOKUP(G232,'Costo x Articulo'!$B:$E,4,0)*J232,0)</f>
        <v>0</v>
      </c>
      <c r="L232" s="14">
        <f>IFERROR(VLOOKUP(G232,'Costo x Articulo'!$B:$E,3,0)*J232,0)</f>
        <v>0</v>
      </c>
      <c r="M232" s="14">
        <f t="shared" si="12"/>
        <v>0</v>
      </c>
      <c r="N232" s="1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2.75" customHeight="1">
      <c r="A233" s="2"/>
      <c r="B233" s="14"/>
      <c r="C233" s="15"/>
      <c r="D233" s="25" t="str">
        <f t="shared" si="1"/>
        <v/>
      </c>
      <c r="E233" s="25" t="str">
        <f t="shared" si="2"/>
        <v/>
      </c>
      <c r="F233" s="15"/>
      <c r="G233" s="16"/>
      <c r="H233" s="16" t="str">
        <f>IFERROR(VLOOKUP(G233,'Costo x Articulo'!$B:$C,2,0),"")</f>
        <v/>
      </c>
      <c r="I233" s="16"/>
      <c r="J233" s="14"/>
      <c r="K233" s="14">
        <f>IFERROR(VLOOKUP(G233,'Costo x Articulo'!$B:$E,4,0)*J233,0)</f>
        <v>0</v>
      </c>
      <c r="L233" s="14">
        <f>IFERROR(VLOOKUP(G233,'Costo x Articulo'!$B:$E,3,0)*J233,0)</f>
        <v>0</v>
      </c>
      <c r="M233" s="14">
        <f t="shared" si="12"/>
        <v>0</v>
      </c>
      <c r="N233" s="1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2.75" customHeight="1">
      <c r="A234" s="2"/>
      <c r="B234" s="14"/>
      <c r="C234" s="15"/>
      <c r="D234" s="25" t="str">
        <f t="shared" si="1"/>
        <v/>
      </c>
      <c r="E234" s="25" t="str">
        <f t="shared" si="2"/>
        <v/>
      </c>
      <c r="F234" s="15"/>
      <c r="G234" s="16"/>
      <c r="H234" s="16" t="str">
        <f>IFERROR(VLOOKUP(G234,'Costo x Articulo'!$B:$C,2,0),"")</f>
        <v/>
      </c>
      <c r="I234" s="16"/>
      <c r="J234" s="14"/>
      <c r="K234" s="14">
        <f>IFERROR(VLOOKUP(G234,'Costo x Articulo'!$B:$E,4,0)*J234,0)</f>
        <v>0</v>
      </c>
      <c r="L234" s="14">
        <f>IFERROR(VLOOKUP(G234,'Costo x Articulo'!$B:$E,3,0)*J234,0)</f>
        <v>0</v>
      </c>
      <c r="M234" s="14">
        <f t="shared" si="12"/>
        <v>0</v>
      </c>
      <c r="N234" s="1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2.75" customHeight="1">
      <c r="A235" s="2"/>
      <c r="B235" s="14"/>
      <c r="C235" s="15"/>
      <c r="D235" s="25" t="str">
        <f t="shared" si="1"/>
        <v/>
      </c>
      <c r="E235" s="25" t="str">
        <f t="shared" si="2"/>
        <v/>
      </c>
      <c r="F235" s="15"/>
      <c r="G235" s="16"/>
      <c r="H235" s="16" t="str">
        <f>IFERROR(VLOOKUP(G235,'Costo x Articulo'!$B:$C,2,0),"")</f>
        <v/>
      </c>
      <c r="I235" s="16"/>
      <c r="J235" s="14"/>
      <c r="K235" s="14">
        <f>IFERROR(VLOOKUP(G235,'Costo x Articulo'!$B:$E,4,0)*J235,0)</f>
        <v>0</v>
      </c>
      <c r="L235" s="14">
        <f>IFERROR(VLOOKUP(G235,'Costo x Articulo'!$B:$E,3,0)*J235,0)</f>
        <v>0</v>
      </c>
      <c r="M235" s="14">
        <f t="shared" si="12"/>
        <v>0</v>
      </c>
      <c r="N235" s="1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2.75" customHeight="1">
      <c r="A236" s="2"/>
      <c r="B236" s="14"/>
      <c r="C236" s="15"/>
      <c r="D236" s="25" t="str">
        <f t="shared" si="1"/>
        <v/>
      </c>
      <c r="E236" s="25" t="str">
        <f t="shared" si="2"/>
        <v/>
      </c>
      <c r="F236" s="15"/>
      <c r="G236" s="16"/>
      <c r="H236" s="16" t="str">
        <f>IFERROR(VLOOKUP(G236,'Costo x Articulo'!$B:$C,2,0),"")</f>
        <v/>
      </c>
      <c r="I236" s="16"/>
      <c r="J236" s="14"/>
      <c r="K236" s="14">
        <f>IFERROR(VLOOKUP(G236,'Costo x Articulo'!$B:$E,4,0)*J236,0)</f>
        <v>0</v>
      </c>
      <c r="L236" s="14">
        <f>IFERROR(VLOOKUP(G236,'Costo x Articulo'!$B:$E,3,0)*J236,0)</f>
        <v>0</v>
      </c>
      <c r="M236" s="14">
        <f t="shared" si="12"/>
        <v>0</v>
      </c>
      <c r="N236" s="1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2.75" customHeight="1">
      <c r="A237" s="2"/>
      <c r="B237" s="14"/>
      <c r="C237" s="15"/>
      <c r="D237" s="25" t="str">
        <f t="shared" si="1"/>
        <v/>
      </c>
      <c r="E237" s="25" t="str">
        <f t="shared" si="2"/>
        <v/>
      </c>
      <c r="F237" s="15"/>
      <c r="G237" s="16"/>
      <c r="H237" s="16" t="str">
        <f>IFERROR(VLOOKUP(G237,'Costo x Articulo'!$B:$C,2,0),"")</f>
        <v/>
      </c>
      <c r="I237" s="16"/>
      <c r="J237" s="14"/>
      <c r="K237" s="14">
        <f>IFERROR(VLOOKUP(G237,'Costo x Articulo'!$B:$E,4,0)*J237,0)</f>
        <v>0</v>
      </c>
      <c r="L237" s="14">
        <f>IFERROR(VLOOKUP(G237,'Costo x Articulo'!$B:$E,3,0)*J237,0)</f>
        <v>0</v>
      </c>
      <c r="M237" s="14">
        <f t="shared" si="12"/>
        <v>0</v>
      </c>
      <c r="N237" s="1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2.75" customHeight="1">
      <c r="A238" s="2"/>
      <c r="B238" s="14"/>
      <c r="C238" s="15"/>
      <c r="D238" s="25" t="str">
        <f t="shared" si="1"/>
        <v/>
      </c>
      <c r="E238" s="25" t="str">
        <f t="shared" si="2"/>
        <v/>
      </c>
      <c r="F238" s="15"/>
      <c r="G238" s="16"/>
      <c r="H238" s="16" t="str">
        <f>IFERROR(VLOOKUP(G238,'Costo x Articulo'!$B:$C,2,0),"")</f>
        <v/>
      </c>
      <c r="I238" s="16"/>
      <c r="J238" s="14"/>
      <c r="K238" s="14">
        <f>IFERROR(VLOOKUP(G238,'Costo x Articulo'!$B:$E,4,0)*J238,0)</f>
        <v>0</v>
      </c>
      <c r="L238" s="14">
        <f>IFERROR(VLOOKUP(G238,'Costo x Articulo'!$B:$E,3,0)*J238,0)</f>
        <v>0</v>
      </c>
      <c r="M238" s="14">
        <f t="shared" si="12"/>
        <v>0</v>
      </c>
      <c r="N238" s="1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2.75" customHeight="1">
      <c r="A239" s="2"/>
      <c r="B239" s="14"/>
      <c r="C239" s="15"/>
      <c r="D239" s="25" t="str">
        <f t="shared" si="1"/>
        <v/>
      </c>
      <c r="E239" s="25" t="str">
        <f t="shared" si="2"/>
        <v/>
      </c>
      <c r="F239" s="15"/>
      <c r="G239" s="16"/>
      <c r="H239" s="16" t="str">
        <f>IFERROR(VLOOKUP(G239,'Costo x Articulo'!$B:$C,2,0),"")</f>
        <v/>
      </c>
      <c r="I239" s="16"/>
      <c r="J239" s="14"/>
      <c r="K239" s="14">
        <f>IFERROR(VLOOKUP(G239,'Costo x Articulo'!$B:$E,4,0)*J239,0)</f>
        <v>0</v>
      </c>
      <c r="L239" s="14">
        <f>IFERROR(VLOOKUP(G239,'Costo x Articulo'!$B:$E,3,0)*J239,0)</f>
        <v>0</v>
      </c>
      <c r="M239" s="14">
        <f t="shared" si="12"/>
        <v>0</v>
      </c>
      <c r="N239" s="1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2.75" customHeight="1">
      <c r="A240" s="2"/>
      <c r="B240" s="14"/>
      <c r="C240" s="15"/>
      <c r="D240" s="25" t="str">
        <f t="shared" si="1"/>
        <v/>
      </c>
      <c r="E240" s="25" t="str">
        <f t="shared" si="2"/>
        <v/>
      </c>
      <c r="F240" s="15"/>
      <c r="G240" s="16"/>
      <c r="H240" s="16" t="str">
        <f>IFERROR(VLOOKUP(G240,'Costo x Articulo'!$B:$C,2,0),"")</f>
        <v/>
      </c>
      <c r="I240" s="16"/>
      <c r="J240" s="14"/>
      <c r="K240" s="14">
        <f>IFERROR(VLOOKUP(G240,'Costo x Articulo'!$B:$E,4,0)*J240,0)</f>
        <v>0</v>
      </c>
      <c r="L240" s="14">
        <f>IFERROR(VLOOKUP(G240,'Costo x Articulo'!$B:$E,3,0)*J240,0)</f>
        <v>0</v>
      </c>
      <c r="M240" s="14">
        <f t="shared" si="12"/>
        <v>0</v>
      </c>
      <c r="N240" s="1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2.75" customHeight="1">
      <c r="A241" s="2"/>
      <c r="B241" s="14"/>
      <c r="C241" s="15"/>
      <c r="D241" s="25" t="str">
        <f t="shared" si="1"/>
        <v/>
      </c>
      <c r="E241" s="25" t="str">
        <f t="shared" si="2"/>
        <v/>
      </c>
      <c r="F241" s="15"/>
      <c r="G241" s="16"/>
      <c r="H241" s="16" t="str">
        <f>IFERROR(VLOOKUP(G241,'Costo x Articulo'!$B:$C,2,0),"")</f>
        <v/>
      </c>
      <c r="I241" s="16"/>
      <c r="J241" s="14"/>
      <c r="K241" s="14">
        <f>IFERROR(VLOOKUP(G241,'Costo x Articulo'!$B:$E,4,0)*J241,0)</f>
        <v>0</v>
      </c>
      <c r="L241" s="14">
        <f>IFERROR(VLOOKUP(G241,'Costo x Articulo'!$B:$E,3,0)*J241,0)</f>
        <v>0</v>
      </c>
      <c r="M241" s="14">
        <f t="shared" si="12"/>
        <v>0</v>
      </c>
      <c r="N241" s="1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2.75" customHeight="1">
      <c r="A242" s="2"/>
      <c r="B242" s="14"/>
      <c r="C242" s="15"/>
      <c r="D242" s="25" t="str">
        <f t="shared" si="1"/>
        <v/>
      </c>
      <c r="E242" s="25" t="str">
        <f t="shared" si="2"/>
        <v/>
      </c>
      <c r="F242" s="15"/>
      <c r="G242" s="16"/>
      <c r="H242" s="16" t="str">
        <f>IFERROR(VLOOKUP(G242,'Costo x Articulo'!$B:$C,2,0),"")</f>
        <v/>
      </c>
      <c r="I242" s="16"/>
      <c r="J242" s="14"/>
      <c r="K242" s="14">
        <f>IFERROR(VLOOKUP(G242,'Costo x Articulo'!$B:$E,4,0)*J242,0)</f>
        <v>0</v>
      </c>
      <c r="L242" s="14">
        <f>IFERROR(VLOOKUP(G242,'Costo x Articulo'!$B:$E,3,0)*J242,0)</f>
        <v>0</v>
      </c>
      <c r="M242" s="14">
        <f t="shared" si="12"/>
        <v>0</v>
      </c>
      <c r="N242" s="1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2.75" customHeight="1">
      <c r="A243" s="2"/>
      <c r="B243" s="14"/>
      <c r="C243" s="15"/>
      <c r="D243" s="25" t="str">
        <f t="shared" si="1"/>
        <v/>
      </c>
      <c r="E243" s="25" t="str">
        <f t="shared" si="2"/>
        <v/>
      </c>
      <c r="F243" s="15"/>
      <c r="G243" s="16"/>
      <c r="H243" s="16" t="str">
        <f>IFERROR(VLOOKUP(G243,'Costo x Articulo'!$B:$C,2,0),"")</f>
        <v/>
      </c>
      <c r="I243" s="16"/>
      <c r="J243" s="14"/>
      <c r="K243" s="14">
        <f>IFERROR(VLOOKUP(G243,'Costo x Articulo'!$B:$E,4,0)*J243,0)</f>
        <v>0</v>
      </c>
      <c r="L243" s="14">
        <f>IFERROR(VLOOKUP(G243,'Costo x Articulo'!$B:$E,3,0)*J243,0)</f>
        <v>0</v>
      </c>
      <c r="M243" s="14">
        <f t="shared" si="12"/>
        <v>0</v>
      </c>
      <c r="N243" s="1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2.75" customHeight="1">
      <c r="A244" s="2"/>
      <c r="B244" s="14"/>
      <c r="C244" s="15"/>
      <c r="D244" s="25" t="str">
        <f t="shared" si="1"/>
        <v/>
      </c>
      <c r="E244" s="25" t="str">
        <f t="shared" si="2"/>
        <v/>
      </c>
      <c r="F244" s="15"/>
      <c r="G244" s="16"/>
      <c r="H244" s="16" t="str">
        <f>IFERROR(VLOOKUP(G244,'Costo x Articulo'!$B:$C,2,0),"")</f>
        <v/>
      </c>
      <c r="I244" s="16"/>
      <c r="J244" s="14"/>
      <c r="K244" s="14">
        <f>IFERROR(VLOOKUP(G244,'Costo x Articulo'!$B:$E,4,0)*J244,0)</f>
        <v>0</v>
      </c>
      <c r="L244" s="14">
        <f>IFERROR(VLOOKUP(G244,'Costo x Articulo'!$B:$E,3,0)*J244,0)</f>
        <v>0</v>
      </c>
      <c r="M244" s="14">
        <f t="shared" si="12"/>
        <v>0</v>
      </c>
      <c r="N244" s="1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2.75" customHeight="1">
      <c r="A245" s="2"/>
      <c r="B245" s="14"/>
      <c r="C245" s="15"/>
      <c r="D245" s="25" t="str">
        <f t="shared" si="1"/>
        <v/>
      </c>
      <c r="E245" s="25" t="str">
        <f t="shared" si="2"/>
        <v/>
      </c>
      <c r="F245" s="15"/>
      <c r="G245" s="16"/>
      <c r="H245" s="16" t="str">
        <f>IFERROR(VLOOKUP(G245,'Costo x Articulo'!$B:$C,2,0),"")</f>
        <v/>
      </c>
      <c r="I245" s="16"/>
      <c r="J245" s="14"/>
      <c r="K245" s="14">
        <f>IFERROR(VLOOKUP(G245,'Costo x Articulo'!$B:$E,4,0)*J245,0)</f>
        <v>0</v>
      </c>
      <c r="L245" s="14">
        <f>IFERROR(VLOOKUP(G245,'Costo x Articulo'!$B:$E,3,0)*J245,0)</f>
        <v>0</v>
      </c>
      <c r="M245" s="14">
        <f t="shared" si="12"/>
        <v>0</v>
      </c>
      <c r="N245" s="1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2.75" customHeight="1">
      <c r="A246" s="2"/>
      <c r="B246" s="14"/>
      <c r="C246" s="15"/>
      <c r="D246" s="25" t="str">
        <f t="shared" si="1"/>
        <v/>
      </c>
      <c r="E246" s="25" t="str">
        <f t="shared" si="2"/>
        <v/>
      </c>
      <c r="F246" s="15"/>
      <c r="G246" s="16"/>
      <c r="H246" s="16" t="str">
        <f>IFERROR(VLOOKUP(G246,'Costo x Articulo'!$B:$C,2,0),"")</f>
        <v/>
      </c>
      <c r="I246" s="16"/>
      <c r="J246" s="14"/>
      <c r="K246" s="14">
        <f>IFERROR(VLOOKUP(G246,'Costo x Articulo'!$B:$E,4,0)*J246,0)</f>
        <v>0</v>
      </c>
      <c r="L246" s="14">
        <f>IFERROR(VLOOKUP(G246,'Costo x Articulo'!$B:$E,3,0)*J246,0)</f>
        <v>0</v>
      </c>
      <c r="M246" s="14">
        <f t="shared" si="12"/>
        <v>0</v>
      </c>
      <c r="N246" s="1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2.75" customHeight="1">
      <c r="A247" s="2"/>
      <c r="B247" s="14"/>
      <c r="C247" s="15"/>
      <c r="D247" s="25" t="str">
        <f t="shared" si="1"/>
        <v/>
      </c>
      <c r="E247" s="25" t="str">
        <f t="shared" si="2"/>
        <v/>
      </c>
      <c r="F247" s="15"/>
      <c r="G247" s="16"/>
      <c r="H247" s="16" t="str">
        <f>IFERROR(VLOOKUP(G247,'Costo x Articulo'!$B:$C,2,0),"")</f>
        <v/>
      </c>
      <c r="I247" s="16"/>
      <c r="J247" s="14"/>
      <c r="K247" s="14">
        <f>IFERROR(VLOOKUP(G247,'Costo x Articulo'!$B:$E,4,0)*J247,0)</f>
        <v>0</v>
      </c>
      <c r="L247" s="14">
        <f>IFERROR(VLOOKUP(G247,'Costo x Articulo'!$B:$E,3,0)*J247,0)</f>
        <v>0</v>
      </c>
      <c r="M247" s="14">
        <f t="shared" si="12"/>
        <v>0</v>
      </c>
      <c r="N247" s="1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2.75" customHeight="1">
      <c r="A248" s="2"/>
      <c r="B248" s="14"/>
      <c r="C248" s="15"/>
      <c r="D248" s="25" t="str">
        <f t="shared" si="1"/>
        <v/>
      </c>
      <c r="E248" s="25" t="str">
        <f t="shared" si="2"/>
        <v/>
      </c>
      <c r="F248" s="15"/>
      <c r="G248" s="16"/>
      <c r="H248" s="16" t="str">
        <f>IFERROR(VLOOKUP(G248,'Costo x Articulo'!$B:$C,2,0),"")</f>
        <v/>
      </c>
      <c r="I248" s="16"/>
      <c r="J248" s="14"/>
      <c r="K248" s="14">
        <f>IFERROR(VLOOKUP(G248,'Costo x Articulo'!$B:$E,4,0)*J248,0)</f>
        <v>0</v>
      </c>
      <c r="L248" s="14">
        <f>IFERROR(VLOOKUP(G248,'Costo x Articulo'!$B:$E,3,0)*J248,0)</f>
        <v>0</v>
      </c>
      <c r="M248" s="14">
        <f t="shared" si="12"/>
        <v>0</v>
      </c>
      <c r="N248" s="1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2.75" customHeight="1">
      <c r="A249" s="2"/>
      <c r="B249" s="14"/>
      <c r="C249" s="15"/>
      <c r="D249" s="25" t="str">
        <f t="shared" si="1"/>
        <v/>
      </c>
      <c r="E249" s="25" t="str">
        <f t="shared" si="2"/>
        <v/>
      </c>
      <c r="F249" s="15"/>
      <c r="G249" s="16"/>
      <c r="H249" s="16" t="str">
        <f>IFERROR(VLOOKUP(G249,'Costo x Articulo'!$B:$C,2,0),"")</f>
        <v/>
      </c>
      <c r="I249" s="16"/>
      <c r="J249" s="14"/>
      <c r="K249" s="14">
        <f>IFERROR(VLOOKUP(G249,'Costo x Articulo'!$B:$E,4,0)*J249,0)</f>
        <v>0</v>
      </c>
      <c r="L249" s="14">
        <f>IFERROR(VLOOKUP(G249,'Costo x Articulo'!$B:$E,3,0)*J249,0)</f>
        <v>0</v>
      </c>
      <c r="M249" s="14">
        <f t="shared" si="12"/>
        <v>0</v>
      </c>
      <c r="N249" s="1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2.75" customHeight="1">
      <c r="A250" s="2"/>
      <c r="B250" s="14"/>
      <c r="C250" s="15"/>
      <c r="D250" s="25" t="str">
        <f t="shared" si="1"/>
        <v/>
      </c>
      <c r="E250" s="25" t="str">
        <f t="shared" si="2"/>
        <v/>
      </c>
      <c r="F250" s="15"/>
      <c r="G250" s="16"/>
      <c r="H250" s="16" t="str">
        <f>IFERROR(VLOOKUP(G250,'Costo x Articulo'!$B:$C,2,0),"")</f>
        <v/>
      </c>
      <c r="I250" s="16"/>
      <c r="J250" s="14"/>
      <c r="K250" s="14">
        <f>IFERROR(VLOOKUP(G250,'Costo x Articulo'!$B:$E,4,0)*J250,0)</f>
        <v>0</v>
      </c>
      <c r="L250" s="14">
        <f>IFERROR(VLOOKUP(G250,'Costo x Articulo'!$B:$E,3,0)*J250,0)</f>
        <v>0</v>
      </c>
      <c r="M250" s="14">
        <f t="shared" si="12"/>
        <v>0</v>
      </c>
      <c r="N250" s="1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2.75" customHeight="1">
      <c r="A251" s="2"/>
      <c r="B251" s="14"/>
      <c r="C251" s="15"/>
      <c r="D251" s="25" t="str">
        <f t="shared" si="1"/>
        <v/>
      </c>
      <c r="E251" s="25" t="str">
        <f t="shared" si="2"/>
        <v/>
      </c>
      <c r="F251" s="15"/>
      <c r="G251" s="16"/>
      <c r="H251" s="16" t="str">
        <f>IFERROR(VLOOKUP(G251,'Costo x Articulo'!$B:$C,2,0),"")</f>
        <v/>
      </c>
      <c r="I251" s="16"/>
      <c r="J251" s="14"/>
      <c r="K251" s="14">
        <f>IFERROR(VLOOKUP(G251,'Costo x Articulo'!$B:$E,4,0)*J251,0)</f>
        <v>0</v>
      </c>
      <c r="L251" s="14">
        <f>IFERROR(VLOOKUP(G251,'Costo x Articulo'!$B:$E,3,0)*J251,0)</f>
        <v>0</v>
      </c>
      <c r="M251" s="14">
        <f t="shared" si="12"/>
        <v>0</v>
      </c>
      <c r="N251" s="1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2.75" customHeight="1">
      <c r="A252" s="2"/>
      <c r="B252" s="14"/>
      <c r="C252" s="15"/>
      <c r="D252" s="25" t="str">
        <f t="shared" si="1"/>
        <v/>
      </c>
      <c r="E252" s="25" t="str">
        <f t="shared" si="2"/>
        <v/>
      </c>
      <c r="F252" s="15"/>
      <c r="G252" s="16"/>
      <c r="H252" s="16" t="str">
        <f>IFERROR(VLOOKUP(G252,'Costo x Articulo'!$B:$C,2,0),"")</f>
        <v/>
      </c>
      <c r="I252" s="16"/>
      <c r="J252" s="14"/>
      <c r="K252" s="14">
        <f>IFERROR(VLOOKUP(G252,'Costo x Articulo'!$B:$E,4,0)*J252,0)</f>
        <v>0</v>
      </c>
      <c r="L252" s="14">
        <f>IFERROR(VLOOKUP(G252,'Costo x Articulo'!$B:$E,3,0)*J252,0)</f>
        <v>0</v>
      </c>
      <c r="M252" s="14">
        <f t="shared" si="12"/>
        <v>0</v>
      </c>
      <c r="N252" s="1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2.75" customHeight="1">
      <c r="A253" s="2"/>
      <c r="B253" s="14"/>
      <c r="C253" s="15"/>
      <c r="D253" s="25" t="str">
        <f t="shared" si="1"/>
        <v/>
      </c>
      <c r="E253" s="25" t="str">
        <f t="shared" si="2"/>
        <v/>
      </c>
      <c r="F253" s="15"/>
      <c r="G253" s="16"/>
      <c r="H253" s="16" t="str">
        <f>IFERROR(VLOOKUP(G253,'Costo x Articulo'!$B:$C,2,0),"")</f>
        <v/>
      </c>
      <c r="I253" s="16"/>
      <c r="J253" s="14"/>
      <c r="K253" s="14">
        <f>IFERROR(VLOOKUP(G253,'Costo x Articulo'!$B:$E,4,0)*J253,0)</f>
        <v>0</v>
      </c>
      <c r="L253" s="14">
        <f>IFERROR(VLOOKUP(G253,'Costo x Articulo'!$B:$E,3,0)*J253,0)</f>
        <v>0</v>
      </c>
      <c r="M253" s="14">
        <f t="shared" si="12"/>
        <v>0</v>
      </c>
      <c r="N253" s="1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2.75" customHeight="1">
      <c r="A254" s="2"/>
      <c r="B254" s="14"/>
      <c r="C254" s="15"/>
      <c r="D254" s="25" t="str">
        <f t="shared" si="1"/>
        <v/>
      </c>
      <c r="E254" s="25" t="str">
        <f t="shared" si="2"/>
        <v/>
      </c>
      <c r="F254" s="15"/>
      <c r="G254" s="16"/>
      <c r="H254" s="16" t="str">
        <f>IFERROR(VLOOKUP(G254,'Costo x Articulo'!$B:$C,2,0),"")</f>
        <v/>
      </c>
      <c r="I254" s="16"/>
      <c r="J254" s="14"/>
      <c r="K254" s="14">
        <f>IFERROR(VLOOKUP(G254,'Costo x Articulo'!$B:$E,4,0)*J254,0)</f>
        <v>0</v>
      </c>
      <c r="L254" s="14">
        <f>IFERROR(VLOOKUP(G254,'Costo x Articulo'!$B:$E,3,0)*J254,0)</f>
        <v>0</v>
      </c>
      <c r="M254" s="14">
        <f t="shared" si="12"/>
        <v>0</v>
      </c>
      <c r="N254" s="1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2.75" customHeight="1">
      <c r="A255" s="2"/>
      <c r="B255" s="14"/>
      <c r="C255" s="15"/>
      <c r="D255" s="25" t="str">
        <f t="shared" si="1"/>
        <v/>
      </c>
      <c r="E255" s="25" t="str">
        <f t="shared" si="2"/>
        <v/>
      </c>
      <c r="F255" s="15"/>
      <c r="G255" s="16"/>
      <c r="H255" s="16" t="str">
        <f>IFERROR(VLOOKUP(G255,'Costo x Articulo'!$B:$C,2,0),"")</f>
        <v/>
      </c>
      <c r="I255" s="16"/>
      <c r="J255" s="14"/>
      <c r="K255" s="14">
        <f>IFERROR(VLOOKUP(G255,'Costo x Articulo'!$B:$E,4,0)*J255,0)</f>
        <v>0</v>
      </c>
      <c r="L255" s="14">
        <f>IFERROR(VLOOKUP(G255,'Costo x Articulo'!$B:$E,3,0)*J255,0)</f>
        <v>0</v>
      </c>
      <c r="M255" s="14">
        <f t="shared" si="12"/>
        <v>0</v>
      </c>
      <c r="N255" s="1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2.75" customHeight="1">
      <c r="A256" s="2"/>
      <c r="B256" s="14"/>
      <c r="C256" s="15"/>
      <c r="D256" s="25" t="str">
        <f t="shared" si="1"/>
        <v/>
      </c>
      <c r="E256" s="25" t="str">
        <f t="shared" si="2"/>
        <v/>
      </c>
      <c r="F256" s="15"/>
      <c r="G256" s="16"/>
      <c r="H256" s="16" t="str">
        <f>IFERROR(VLOOKUP(G256,'Costo x Articulo'!$B:$C,2,0),"")</f>
        <v/>
      </c>
      <c r="I256" s="16"/>
      <c r="J256" s="14"/>
      <c r="K256" s="14">
        <f>IFERROR(VLOOKUP(G256,'Costo x Articulo'!$B:$E,4,0)*J256,0)</f>
        <v>0</v>
      </c>
      <c r="L256" s="14">
        <f>IFERROR(VLOOKUP(G256,'Costo x Articulo'!$B:$E,3,0)*J256,0)</f>
        <v>0</v>
      </c>
      <c r="M256" s="14">
        <f t="shared" si="12"/>
        <v>0</v>
      </c>
      <c r="N256" s="1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2.75" customHeight="1">
      <c r="A257" s="2"/>
      <c r="B257" s="14"/>
      <c r="C257" s="15"/>
      <c r="D257" s="25" t="str">
        <f t="shared" si="1"/>
        <v/>
      </c>
      <c r="E257" s="25" t="str">
        <f t="shared" si="2"/>
        <v/>
      </c>
      <c r="F257" s="15"/>
      <c r="G257" s="16"/>
      <c r="H257" s="16" t="str">
        <f>IFERROR(VLOOKUP(G257,'Costo x Articulo'!$B:$C,2,0),"")</f>
        <v/>
      </c>
      <c r="I257" s="16"/>
      <c r="J257" s="14"/>
      <c r="K257" s="14">
        <f>IFERROR(VLOOKUP(G257,'Costo x Articulo'!$B:$E,4,0)*J257,0)</f>
        <v>0</v>
      </c>
      <c r="L257" s="14">
        <f>IFERROR(VLOOKUP(G257,'Costo x Articulo'!$B:$E,3,0)*J257,0)</f>
        <v>0</v>
      </c>
      <c r="M257" s="14">
        <f t="shared" si="12"/>
        <v>0</v>
      </c>
      <c r="N257" s="1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2.75" customHeight="1">
      <c r="A258" s="2"/>
      <c r="B258" s="14"/>
      <c r="C258" s="15"/>
      <c r="D258" s="25" t="str">
        <f t="shared" si="1"/>
        <v/>
      </c>
      <c r="E258" s="25" t="str">
        <f t="shared" si="2"/>
        <v/>
      </c>
      <c r="F258" s="15"/>
      <c r="G258" s="16"/>
      <c r="H258" s="16" t="str">
        <f>IFERROR(VLOOKUP(G258,'Costo x Articulo'!$B:$C,2,0),"")</f>
        <v/>
      </c>
      <c r="I258" s="16"/>
      <c r="J258" s="14"/>
      <c r="K258" s="14">
        <f>IFERROR(VLOOKUP(G258,'Costo x Articulo'!$B:$E,4,0)*J258,0)</f>
        <v>0</v>
      </c>
      <c r="L258" s="14">
        <f>IFERROR(VLOOKUP(G258,'Costo x Articulo'!$B:$E,3,0)*J258,0)</f>
        <v>0</v>
      </c>
      <c r="M258" s="14">
        <f t="shared" si="12"/>
        <v>0</v>
      </c>
      <c r="N258" s="1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2.75" customHeight="1">
      <c r="A259" s="2"/>
      <c r="B259" s="14"/>
      <c r="C259" s="15"/>
      <c r="D259" s="25" t="str">
        <f t="shared" si="1"/>
        <v/>
      </c>
      <c r="E259" s="25" t="str">
        <f t="shared" si="2"/>
        <v/>
      </c>
      <c r="F259" s="15"/>
      <c r="G259" s="16"/>
      <c r="H259" s="16" t="str">
        <f>IFERROR(VLOOKUP(G259,'Costo x Articulo'!$B:$C,2,0),"")</f>
        <v/>
      </c>
      <c r="I259" s="16"/>
      <c r="J259" s="14"/>
      <c r="K259" s="14">
        <f>IFERROR(VLOOKUP(G259,'Costo x Articulo'!$B:$E,4,0)*J259,0)</f>
        <v>0</v>
      </c>
      <c r="L259" s="14">
        <f>IFERROR(VLOOKUP(G259,'Costo x Articulo'!$B:$E,3,0)*J259,0)</f>
        <v>0</v>
      </c>
      <c r="M259" s="14">
        <f t="shared" si="12"/>
        <v>0</v>
      </c>
      <c r="N259" s="1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2.75" customHeight="1">
      <c r="A260" s="2"/>
      <c r="B260" s="14"/>
      <c r="C260" s="15"/>
      <c r="D260" s="25" t="str">
        <f t="shared" si="1"/>
        <v/>
      </c>
      <c r="E260" s="25" t="str">
        <f t="shared" si="2"/>
        <v/>
      </c>
      <c r="F260" s="15"/>
      <c r="G260" s="16"/>
      <c r="H260" s="16" t="str">
        <f>IFERROR(VLOOKUP(G260,'Costo x Articulo'!$B:$C,2,0),"")</f>
        <v/>
      </c>
      <c r="I260" s="16"/>
      <c r="J260" s="14"/>
      <c r="K260" s="14">
        <f>IFERROR(VLOOKUP(G260,'Costo x Articulo'!$B:$E,4,0)*J260,0)</f>
        <v>0</v>
      </c>
      <c r="L260" s="14">
        <f>IFERROR(VLOOKUP(G260,'Costo x Articulo'!$B:$E,3,0)*J260,0)</f>
        <v>0</v>
      </c>
      <c r="M260" s="14">
        <f t="shared" si="12"/>
        <v>0</v>
      </c>
      <c r="N260" s="1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2.75" customHeight="1">
      <c r="A261" s="2"/>
      <c r="B261" s="14"/>
      <c r="C261" s="15"/>
      <c r="D261" s="25" t="str">
        <f t="shared" si="1"/>
        <v/>
      </c>
      <c r="E261" s="25" t="str">
        <f t="shared" si="2"/>
        <v/>
      </c>
      <c r="F261" s="15"/>
      <c r="G261" s="16"/>
      <c r="H261" s="16" t="str">
        <f>IFERROR(VLOOKUP(G261,'Costo x Articulo'!$B:$C,2,0),"")</f>
        <v/>
      </c>
      <c r="I261" s="16"/>
      <c r="J261" s="14"/>
      <c r="K261" s="14">
        <f>IFERROR(VLOOKUP(G261,'Costo x Articulo'!$B:$E,4,0)*J261,0)</f>
        <v>0</v>
      </c>
      <c r="L261" s="14">
        <f>IFERROR(VLOOKUP(G261,'Costo x Articulo'!$B:$E,3,0)*J261,0)</f>
        <v>0</v>
      </c>
      <c r="M261" s="14">
        <f t="shared" si="12"/>
        <v>0</v>
      </c>
      <c r="N261" s="1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2.75" customHeight="1">
      <c r="A262" s="2"/>
      <c r="B262" s="14"/>
      <c r="C262" s="15"/>
      <c r="D262" s="25" t="str">
        <f t="shared" si="1"/>
        <v/>
      </c>
      <c r="E262" s="25" t="str">
        <f t="shared" si="2"/>
        <v/>
      </c>
      <c r="F262" s="15"/>
      <c r="G262" s="16"/>
      <c r="H262" s="16" t="str">
        <f>IFERROR(VLOOKUP(G262,'Costo x Articulo'!$B:$C,2,0),"")</f>
        <v/>
      </c>
      <c r="I262" s="16"/>
      <c r="J262" s="14"/>
      <c r="K262" s="14">
        <f>IFERROR(VLOOKUP(G262,'Costo x Articulo'!$B:$E,4,0)*J262,0)</f>
        <v>0</v>
      </c>
      <c r="L262" s="14">
        <f>IFERROR(VLOOKUP(G262,'Costo x Articulo'!$B:$E,3,0)*J262,0)</f>
        <v>0</v>
      </c>
      <c r="M262" s="14">
        <f t="shared" si="12"/>
        <v>0</v>
      </c>
      <c r="N262" s="1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2.75" customHeight="1">
      <c r="A263" s="2"/>
      <c r="B263" s="14"/>
      <c r="C263" s="15"/>
      <c r="D263" s="25" t="str">
        <f t="shared" si="1"/>
        <v/>
      </c>
      <c r="E263" s="25" t="str">
        <f t="shared" si="2"/>
        <v/>
      </c>
      <c r="F263" s="15"/>
      <c r="G263" s="16"/>
      <c r="H263" s="16" t="str">
        <f>IFERROR(VLOOKUP(G263,'Costo x Articulo'!$B:$C,2,0),"")</f>
        <v/>
      </c>
      <c r="I263" s="16"/>
      <c r="J263" s="14"/>
      <c r="K263" s="14">
        <f>IFERROR(VLOOKUP(G263,'Costo x Articulo'!$B:$E,4,0)*J263,0)</f>
        <v>0</v>
      </c>
      <c r="L263" s="14">
        <f>IFERROR(VLOOKUP(G263,'Costo x Articulo'!$B:$E,3,0)*J263,0)</f>
        <v>0</v>
      </c>
      <c r="M263" s="14">
        <f t="shared" si="12"/>
        <v>0</v>
      </c>
      <c r="N263" s="1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2.75" customHeight="1">
      <c r="A264" s="2"/>
      <c r="B264" s="14"/>
      <c r="C264" s="15"/>
      <c r="D264" s="25" t="str">
        <f t="shared" si="1"/>
        <v/>
      </c>
      <c r="E264" s="25" t="str">
        <f t="shared" si="2"/>
        <v/>
      </c>
      <c r="F264" s="15"/>
      <c r="G264" s="16"/>
      <c r="H264" s="16" t="str">
        <f>IFERROR(VLOOKUP(G264,'Costo x Articulo'!$B:$C,2,0),"")</f>
        <v/>
      </c>
      <c r="I264" s="16"/>
      <c r="J264" s="14"/>
      <c r="K264" s="14">
        <f>IFERROR(VLOOKUP(G264,'Costo x Articulo'!$B:$E,4,0)*J264,0)</f>
        <v>0</v>
      </c>
      <c r="L264" s="14">
        <f>IFERROR(VLOOKUP(G264,'Costo x Articulo'!$B:$E,3,0)*J264,0)</f>
        <v>0</v>
      </c>
      <c r="M264" s="14">
        <f t="shared" si="12"/>
        <v>0</v>
      </c>
      <c r="N264" s="1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2.75" customHeight="1">
      <c r="A265" s="2"/>
      <c r="B265" s="14"/>
      <c r="C265" s="15"/>
      <c r="D265" s="25" t="str">
        <f t="shared" si="1"/>
        <v/>
      </c>
      <c r="E265" s="25" t="str">
        <f t="shared" si="2"/>
        <v/>
      </c>
      <c r="F265" s="15"/>
      <c r="G265" s="16"/>
      <c r="H265" s="16" t="str">
        <f>IFERROR(VLOOKUP(G265,'Costo x Articulo'!$B:$C,2,0),"")</f>
        <v/>
      </c>
      <c r="I265" s="16"/>
      <c r="J265" s="14"/>
      <c r="K265" s="14">
        <f>IFERROR(VLOOKUP(G265,'Costo x Articulo'!$B:$E,4,0)*J265,0)</f>
        <v>0</v>
      </c>
      <c r="L265" s="14">
        <f>IFERROR(VLOOKUP(G265,'Costo x Articulo'!$B:$E,3,0)*J265,0)</f>
        <v>0</v>
      </c>
      <c r="M265" s="14">
        <f t="shared" si="12"/>
        <v>0</v>
      </c>
      <c r="N265" s="1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2.75" customHeight="1">
      <c r="A266" s="2"/>
      <c r="B266" s="14"/>
      <c r="C266" s="15"/>
      <c r="D266" s="25" t="str">
        <f t="shared" si="1"/>
        <v/>
      </c>
      <c r="E266" s="25" t="str">
        <f t="shared" si="2"/>
        <v/>
      </c>
      <c r="F266" s="15"/>
      <c r="G266" s="16"/>
      <c r="H266" s="16" t="str">
        <f>IFERROR(VLOOKUP(G266,'Costo x Articulo'!$B:$C,2,0),"")</f>
        <v/>
      </c>
      <c r="I266" s="16"/>
      <c r="J266" s="14"/>
      <c r="K266" s="14">
        <f>IFERROR(VLOOKUP(G266,'Costo x Articulo'!$B:$E,4,0)*J266,0)</f>
        <v>0</v>
      </c>
      <c r="L266" s="14">
        <f>IFERROR(VLOOKUP(G266,'Costo x Articulo'!$B:$E,3,0)*J266,0)</f>
        <v>0</v>
      </c>
      <c r="M266" s="14">
        <f t="shared" si="12"/>
        <v>0</v>
      </c>
      <c r="N266" s="1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2.75" customHeight="1">
      <c r="A267" s="2"/>
      <c r="B267" s="14"/>
      <c r="C267" s="15"/>
      <c r="D267" s="25" t="str">
        <f t="shared" si="1"/>
        <v/>
      </c>
      <c r="E267" s="25" t="str">
        <f t="shared" si="2"/>
        <v/>
      </c>
      <c r="F267" s="15"/>
      <c r="G267" s="16"/>
      <c r="H267" s="16" t="str">
        <f>IFERROR(VLOOKUP(G267,'Costo x Articulo'!$B:$C,2,0),"")</f>
        <v/>
      </c>
      <c r="I267" s="16"/>
      <c r="J267" s="14"/>
      <c r="K267" s="14">
        <f>IFERROR(VLOOKUP(G267,'Costo x Articulo'!$B:$E,4,0)*J267,0)</f>
        <v>0</v>
      </c>
      <c r="L267" s="14">
        <f>IFERROR(VLOOKUP(G267,'Costo x Articulo'!$B:$E,3,0)*J267,0)</f>
        <v>0</v>
      </c>
      <c r="M267" s="14">
        <f t="shared" si="12"/>
        <v>0</v>
      </c>
      <c r="N267" s="1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2.75" customHeight="1">
      <c r="A268" s="2"/>
      <c r="B268" s="14"/>
      <c r="C268" s="15"/>
      <c r="D268" s="25" t="str">
        <f t="shared" si="1"/>
        <v/>
      </c>
      <c r="E268" s="25" t="str">
        <f t="shared" si="2"/>
        <v/>
      </c>
      <c r="F268" s="15"/>
      <c r="G268" s="16"/>
      <c r="H268" s="16" t="str">
        <f>IFERROR(VLOOKUP(G268,'Costo x Articulo'!$B:$C,2,0),"")</f>
        <v/>
      </c>
      <c r="I268" s="16"/>
      <c r="J268" s="14"/>
      <c r="K268" s="14">
        <f>IFERROR(VLOOKUP(G268,'Costo x Articulo'!$B:$E,4,0)*J268,0)</f>
        <v>0</v>
      </c>
      <c r="L268" s="14">
        <f>IFERROR(VLOOKUP(G268,'Costo x Articulo'!$B:$E,3,0)*J268,0)</f>
        <v>0</v>
      </c>
      <c r="M268" s="14">
        <f t="shared" si="12"/>
        <v>0</v>
      </c>
      <c r="N268" s="1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2.75" customHeight="1">
      <c r="A269" s="2"/>
      <c r="B269" s="14"/>
      <c r="C269" s="15"/>
      <c r="D269" s="25" t="str">
        <f t="shared" si="1"/>
        <v/>
      </c>
      <c r="E269" s="25" t="str">
        <f t="shared" si="2"/>
        <v/>
      </c>
      <c r="F269" s="15"/>
      <c r="G269" s="16"/>
      <c r="H269" s="16" t="str">
        <f>IFERROR(VLOOKUP(G269,'Costo x Articulo'!$B:$C,2,0),"")</f>
        <v/>
      </c>
      <c r="I269" s="16"/>
      <c r="J269" s="14"/>
      <c r="K269" s="14">
        <f>IFERROR(VLOOKUP(G269,'Costo x Articulo'!$B:$E,4,0)*J269,0)</f>
        <v>0</v>
      </c>
      <c r="L269" s="14">
        <f>IFERROR(VLOOKUP(G269,'Costo x Articulo'!$B:$E,3,0)*J269,0)</f>
        <v>0</v>
      </c>
      <c r="M269" s="14">
        <f t="shared" si="12"/>
        <v>0</v>
      </c>
      <c r="N269" s="1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2.75" customHeight="1">
      <c r="A270" s="2"/>
      <c r="B270" s="14"/>
      <c r="C270" s="15"/>
      <c r="D270" s="25" t="str">
        <f t="shared" si="1"/>
        <v/>
      </c>
      <c r="E270" s="25" t="str">
        <f t="shared" si="2"/>
        <v/>
      </c>
      <c r="F270" s="15"/>
      <c r="G270" s="16"/>
      <c r="H270" s="16" t="str">
        <f>IFERROR(VLOOKUP(G270,'Costo x Articulo'!$B:$C,2,0),"")</f>
        <v/>
      </c>
      <c r="I270" s="16"/>
      <c r="J270" s="14"/>
      <c r="K270" s="14">
        <f>IFERROR(VLOOKUP(G270,'Costo x Articulo'!$B:$E,4,0)*J270,0)</f>
        <v>0</v>
      </c>
      <c r="L270" s="14">
        <f>IFERROR(VLOOKUP(G270,'Costo x Articulo'!$B:$E,3,0)*J270,0)</f>
        <v>0</v>
      </c>
      <c r="M270" s="14">
        <f t="shared" si="12"/>
        <v>0</v>
      </c>
      <c r="N270" s="1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2.75" customHeight="1">
      <c r="A271" s="2"/>
      <c r="B271" s="14"/>
      <c r="C271" s="15"/>
      <c r="D271" s="25" t="str">
        <f t="shared" si="1"/>
        <v/>
      </c>
      <c r="E271" s="25" t="str">
        <f t="shared" si="2"/>
        <v/>
      </c>
      <c r="F271" s="15"/>
      <c r="G271" s="16"/>
      <c r="H271" s="16" t="str">
        <f>IFERROR(VLOOKUP(G271,'Costo x Articulo'!$B:$C,2,0),"")</f>
        <v/>
      </c>
      <c r="I271" s="16"/>
      <c r="J271" s="14"/>
      <c r="K271" s="14">
        <f>IFERROR(VLOOKUP(G271,'Costo x Articulo'!$B:$E,4,0)*J271,0)</f>
        <v>0</v>
      </c>
      <c r="L271" s="14">
        <f>IFERROR(VLOOKUP(G271,'Costo x Articulo'!$B:$E,3,0)*J271,0)</f>
        <v>0</v>
      </c>
      <c r="M271" s="14">
        <f t="shared" si="12"/>
        <v>0</v>
      </c>
      <c r="N271" s="1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2.75" customHeight="1">
      <c r="A272" s="2"/>
      <c r="B272" s="14"/>
      <c r="C272" s="15"/>
      <c r="D272" s="25" t="str">
        <f t="shared" si="1"/>
        <v/>
      </c>
      <c r="E272" s="25" t="str">
        <f t="shared" si="2"/>
        <v/>
      </c>
      <c r="F272" s="15"/>
      <c r="G272" s="16"/>
      <c r="H272" s="16" t="str">
        <f>IFERROR(VLOOKUP(G272,'Costo x Articulo'!$B:$C,2,0),"")</f>
        <v/>
      </c>
      <c r="I272" s="16"/>
      <c r="J272" s="14"/>
      <c r="K272" s="14">
        <f>IFERROR(VLOOKUP(G272,'Costo x Articulo'!$B:$E,4,0)*J272,0)</f>
        <v>0</v>
      </c>
      <c r="L272" s="14">
        <f>IFERROR(VLOOKUP(G272,'Costo x Articulo'!$B:$E,3,0)*J272,0)</f>
        <v>0</v>
      </c>
      <c r="M272" s="14">
        <f t="shared" si="12"/>
        <v>0</v>
      </c>
      <c r="N272" s="1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2.75" customHeight="1">
      <c r="A273" s="2"/>
      <c r="B273" s="14"/>
      <c r="C273" s="15"/>
      <c r="D273" s="25" t="str">
        <f t="shared" si="1"/>
        <v/>
      </c>
      <c r="E273" s="25" t="str">
        <f t="shared" si="2"/>
        <v/>
      </c>
      <c r="F273" s="15"/>
      <c r="G273" s="16"/>
      <c r="H273" s="16" t="str">
        <f>IFERROR(VLOOKUP(G273,'Costo x Articulo'!$B:$C,2,0),"")</f>
        <v/>
      </c>
      <c r="I273" s="16"/>
      <c r="J273" s="14"/>
      <c r="K273" s="14">
        <f>IFERROR(VLOOKUP(G273,'Costo x Articulo'!$B:$E,4,0)*J273,0)</f>
        <v>0</v>
      </c>
      <c r="L273" s="14">
        <f>IFERROR(VLOOKUP(G273,'Costo x Articulo'!$B:$E,3,0)*J273,0)</f>
        <v>0</v>
      </c>
      <c r="M273" s="14">
        <f t="shared" si="12"/>
        <v>0</v>
      </c>
      <c r="N273" s="1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2.75" customHeight="1">
      <c r="A274" s="2"/>
      <c r="B274" s="14"/>
      <c r="C274" s="15"/>
      <c r="D274" s="25" t="str">
        <f t="shared" si="1"/>
        <v/>
      </c>
      <c r="E274" s="25" t="str">
        <f t="shared" si="2"/>
        <v/>
      </c>
      <c r="F274" s="15"/>
      <c r="G274" s="16"/>
      <c r="H274" s="16" t="str">
        <f>IFERROR(VLOOKUP(G274,'Costo x Articulo'!$B:$C,2,0),"")</f>
        <v/>
      </c>
      <c r="I274" s="16"/>
      <c r="J274" s="14"/>
      <c r="K274" s="14">
        <f>IFERROR(VLOOKUP(G274,'Costo x Articulo'!$B:$E,4,0)*J274,0)</f>
        <v>0</v>
      </c>
      <c r="L274" s="14">
        <f>IFERROR(VLOOKUP(G274,'Costo x Articulo'!$B:$E,3,0)*J274,0)</f>
        <v>0</v>
      </c>
      <c r="M274" s="14">
        <f t="shared" si="12"/>
        <v>0</v>
      </c>
      <c r="N274" s="1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2.75" customHeight="1">
      <c r="A275" s="2"/>
      <c r="B275" s="14"/>
      <c r="C275" s="15"/>
      <c r="D275" s="25" t="str">
        <f t="shared" si="1"/>
        <v/>
      </c>
      <c r="E275" s="25" t="str">
        <f t="shared" si="2"/>
        <v/>
      </c>
      <c r="F275" s="15"/>
      <c r="G275" s="16"/>
      <c r="H275" s="16" t="str">
        <f>IFERROR(VLOOKUP(G275,'Costo x Articulo'!$B:$C,2,0),"")</f>
        <v/>
      </c>
      <c r="I275" s="16"/>
      <c r="J275" s="14"/>
      <c r="K275" s="14">
        <f>IFERROR(VLOOKUP(G275,'Costo x Articulo'!$B:$E,4,0)*J275,0)</f>
        <v>0</v>
      </c>
      <c r="L275" s="14">
        <f>IFERROR(VLOOKUP(G275,'Costo x Articulo'!$B:$E,3,0)*J275,0)</f>
        <v>0</v>
      </c>
      <c r="M275" s="14">
        <f t="shared" si="12"/>
        <v>0</v>
      </c>
      <c r="N275" s="1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2.75" customHeight="1">
      <c r="A276" s="2"/>
      <c r="B276" s="14"/>
      <c r="C276" s="15"/>
      <c r="D276" s="25" t="str">
        <f t="shared" si="1"/>
        <v/>
      </c>
      <c r="E276" s="25" t="str">
        <f t="shared" si="2"/>
        <v/>
      </c>
      <c r="F276" s="15"/>
      <c r="G276" s="16"/>
      <c r="H276" s="16" t="str">
        <f>IFERROR(VLOOKUP(G276,'Costo x Articulo'!$B:$C,2,0),"")</f>
        <v/>
      </c>
      <c r="I276" s="16"/>
      <c r="J276" s="14"/>
      <c r="K276" s="14">
        <f>IFERROR(VLOOKUP(G276,'Costo x Articulo'!$B:$E,4,0)*J276,0)</f>
        <v>0</v>
      </c>
      <c r="L276" s="14">
        <f>IFERROR(VLOOKUP(G276,'Costo x Articulo'!$B:$E,3,0)*J276,0)</f>
        <v>0</v>
      </c>
      <c r="M276" s="14">
        <f t="shared" si="12"/>
        <v>0</v>
      </c>
      <c r="N276" s="1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2.75" customHeight="1">
      <c r="A277" s="2"/>
      <c r="B277" s="14"/>
      <c r="C277" s="15"/>
      <c r="D277" s="25" t="str">
        <f t="shared" si="1"/>
        <v/>
      </c>
      <c r="E277" s="25" t="str">
        <f t="shared" si="2"/>
        <v/>
      </c>
      <c r="F277" s="15"/>
      <c r="G277" s="16"/>
      <c r="H277" s="16" t="str">
        <f>IFERROR(VLOOKUP(G277,'Costo x Articulo'!$B:$C,2,0),"")</f>
        <v/>
      </c>
      <c r="I277" s="16"/>
      <c r="J277" s="14"/>
      <c r="K277" s="14">
        <f>IFERROR(VLOOKUP(G277,'Costo x Articulo'!$B:$E,4,0)*J277,0)</f>
        <v>0</v>
      </c>
      <c r="L277" s="14">
        <f>IFERROR(VLOOKUP(G277,'Costo x Articulo'!$B:$E,3,0)*J277,0)</f>
        <v>0</v>
      </c>
      <c r="M277" s="14">
        <f t="shared" si="12"/>
        <v>0</v>
      </c>
      <c r="N277" s="1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2.75" customHeight="1">
      <c r="A278" s="2"/>
      <c r="B278" s="14"/>
      <c r="C278" s="15"/>
      <c r="D278" s="25" t="str">
        <f t="shared" si="1"/>
        <v/>
      </c>
      <c r="E278" s="25" t="str">
        <f t="shared" si="2"/>
        <v/>
      </c>
      <c r="F278" s="15"/>
      <c r="G278" s="16"/>
      <c r="H278" s="16" t="str">
        <f>IFERROR(VLOOKUP(G278,'Costo x Articulo'!$B:$C,2,0),"")</f>
        <v/>
      </c>
      <c r="I278" s="16"/>
      <c r="J278" s="14"/>
      <c r="K278" s="14">
        <f>IFERROR(VLOOKUP(G278,'Costo x Articulo'!$B:$E,4,0)*J278,0)</f>
        <v>0</v>
      </c>
      <c r="L278" s="14">
        <f>IFERROR(VLOOKUP(G278,'Costo x Articulo'!$B:$E,3,0)*J278,0)</f>
        <v>0</v>
      </c>
      <c r="M278" s="14">
        <f t="shared" si="12"/>
        <v>0</v>
      </c>
      <c r="N278" s="1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2.75" customHeight="1">
      <c r="A279" s="2"/>
      <c r="B279" s="14"/>
      <c r="C279" s="15"/>
      <c r="D279" s="25" t="str">
        <f t="shared" si="1"/>
        <v/>
      </c>
      <c r="E279" s="25" t="str">
        <f t="shared" si="2"/>
        <v/>
      </c>
      <c r="F279" s="15"/>
      <c r="G279" s="16"/>
      <c r="H279" s="16" t="str">
        <f>IFERROR(VLOOKUP(G279,'Costo x Articulo'!$B:$C,2,0),"")</f>
        <v/>
      </c>
      <c r="I279" s="16"/>
      <c r="J279" s="14"/>
      <c r="K279" s="14">
        <f>IFERROR(VLOOKUP(G279,'Costo x Articulo'!$B:$E,4,0)*J279,0)</f>
        <v>0</v>
      </c>
      <c r="L279" s="14">
        <f>IFERROR(VLOOKUP(G279,'Costo x Articulo'!$B:$E,3,0)*J279,0)</f>
        <v>0</v>
      </c>
      <c r="M279" s="14">
        <f t="shared" si="12"/>
        <v>0</v>
      </c>
      <c r="N279" s="1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2.75" customHeight="1">
      <c r="A280" s="2"/>
      <c r="B280" s="14"/>
      <c r="C280" s="15"/>
      <c r="D280" s="25" t="str">
        <f t="shared" si="1"/>
        <v/>
      </c>
      <c r="E280" s="25" t="str">
        <f t="shared" si="2"/>
        <v/>
      </c>
      <c r="F280" s="15"/>
      <c r="G280" s="16"/>
      <c r="H280" s="16" t="str">
        <f>IFERROR(VLOOKUP(G280,'Costo x Articulo'!$B:$C,2,0),"")</f>
        <v/>
      </c>
      <c r="I280" s="16"/>
      <c r="J280" s="14"/>
      <c r="K280" s="14">
        <f>IFERROR(VLOOKUP(G280,'Costo x Articulo'!$B:$E,4,0)*J280,0)</f>
        <v>0</v>
      </c>
      <c r="L280" s="14">
        <f>IFERROR(VLOOKUP(G280,'Costo x Articulo'!$B:$E,3,0)*J280,0)</f>
        <v>0</v>
      </c>
      <c r="M280" s="14">
        <f t="shared" si="12"/>
        <v>0</v>
      </c>
      <c r="N280" s="1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2.75" customHeight="1">
      <c r="A281" s="2"/>
      <c r="B281" s="14"/>
      <c r="C281" s="15"/>
      <c r="D281" s="25" t="str">
        <f t="shared" si="1"/>
        <v/>
      </c>
      <c r="E281" s="25" t="str">
        <f t="shared" si="2"/>
        <v/>
      </c>
      <c r="F281" s="15"/>
      <c r="G281" s="16"/>
      <c r="H281" s="16" t="str">
        <f>IFERROR(VLOOKUP(G281,'Costo x Articulo'!$B:$C,2,0),"")</f>
        <v/>
      </c>
      <c r="I281" s="16"/>
      <c r="J281" s="14"/>
      <c r="K281" s="14">
        <f>IFERROR(VLOOKUP(G281,'Costo x Articulo'!$B:$E,4,0)*J281,0)</f>
        <v>0</v>
      </c>
      <c r="L281" s="14">
        <f>IFERROR(VLOOKUP(G281,'Costo x Articulo'!$B:$E,3,0)*J281,0)</f>
        <v>0</v>
      </c>
      <c r="M281" s="14">
        <f t="shared" si="12"/>
        <v>0</v>
      </c>
      <c r="N281" s="1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2.75" customHeight="1">
      <c r="A282" s="2"/>
      <c r="B282" s="14"/>
      <c r="C282" s="15"/>
      <c r="D282" s="25" t="str">
        <f t="shared" si="1"/>
        <v/>
      </c>
      <c r="E282" s="25" t="str">
        <f t="shared" si="2"/>
        <v/>
      </c>
      <c r="F282" s="15"/>
      <c r="G282" s="16"/>
      <c r="H282" s="16" t="str">
        <f>IFERROR(VLOOKUP(G282,'Costo x Articulo'!$B:$C,2,0),"")</f>
        <v/>
      </c>
      <c r="I282" s="16"/>
      <c r="J282" s="14"/>
      <c r="K282" s="14">
        <f>IFERROR(VLOOKUP(G282,'Costo x Articulo'!$B:$E,4,0)*J282,0)</f>
        <v>0</v>
      </c>
      <c r="L282" s="14">
        <f>IFERROR(VLOOKUP(G282,'Costo x Articulo'!$B:$E,3,0)*J282,0)</f>
        <v>0</v>
      </c>
      <c r="M282" s="14">
        <f t="shared" si="12"/>
        <v>0</v>
      </c>
      <c r="N282" s="1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2.75" customHeight="1">
      <c r="A283" s="2"/>
      <c r="B283" s="14"/>
      <c r="C283" s="15"/>
      <c r="D283" s="25" t="str">
        <f t="shared" si="1"/>
        <v/>
      </c>
      <c r="E283" s="25" t="str">
        <f t="shared" si="2"/>
        <v/>
      </c>
      <c r="F283" s="15"/>
      <c r="G283" s="16"/>
      <c r="H283" s="16" t="str">
        <f>IFERROR(VLOOKUP(G283,'Costo x Articulo'!$B:$C,2,0),"")</f>
        <v/>
      </c>
      <c r="I283" s="16"/>
      <c r="J283" s="14"/>
      <c r="K283" s="14">
        <f>IFERROR(VLOOKUP(G283,'Costo x Articulo'!$B:$E,4,0)*J283,0)</f>
        <v>0</v>
      </c>
      <c r="L283" s="14">
        <f>IFERROR(VLOOKUP(G283,'Costo x Articulo'!$B:$E,3,0)*J283,0)</f>
        <v>0</v>
      </c>
      <c r="M283" s="14">
        <f t="shared" si="12"/>
        <v>0</v>
      </c>
      <c r="N283" s="1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2.75" customHeight="1">
      <c r="A284" s="2"/>
      <c r="B284" s="14"/>
      <c r="C284" s="15"/>
      <c r="D284" s="25" t="str">
        <f t="shared" si="1"/>
        <v/>
      </c>
      <c r="E284" s="25" t="str">
        <f t="shared" si="2"/>
        <v/>
      </c>
      <c r="F284" s="15"/>
      <c r="G284" s="16"/>
      <c r="H284" s="16" t="str">
        <f>IFERROR(VLOOKUP(G284,'Costo x Articulo'!$B:$C,2,0),"")</f>
        <v/>
      </c>
      <c r="I284" s="16"/>
      <c r="J284" s="14"/>
      <c r="K284" s="14">
        <f>IFERROR(VLOOKUP(G284,'Costo x Articulo'!$B:$E,4,0)*J284,0)</f>
        <v>0</v>
      </c>
      <c r="L284" s="14">
        <f>IFERROR(VLOOKUP(G284,'Costo x Articulo'!$B:$E,3,0)*J284,0)</f>
        <v>0</v>
      </c>
      <c r="M284" s="14">
        <f t="shared" si="12"/>
        <v>0</v>
      </c>
      <c r="N284" s="1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2.75" customHeight="1">
      <c r="A285" s="2"/>
      <c r="B285" s="14"/>
      <c r="C285" s="15"/>
      <c r="D285" s="25" t="str">
        <f t="shared" si="1"/>
        <v/>
      </c>
      <c r="E285" s="25" t="str">
        <f t="shared" si="2"/>
        <v/>
      </c>
      <c r="F285" s="15"/>
      <c r="G285" s="16"/>
      <c r="H285" s="16" t="str">
        <f>IFERROR(VLOOKUP(G285,'Costo x Articulo'!$B:$C,2,0),"")</f>
        <v/>
      </c>
      <c r="I285" s="16"/>
      <c r="J285" s="14"/>
      <c r="K285" s="14">
        <f>IFERROR(VLOOKUP(G285,'Costo x Articulo'!$B:$E,4,0)*J285,0)</f>
        <v>0</v>
      </c>
      <c r="L285" s="14">
        <f>IFERROR(VLOOKUP(G285,'Costo x Articulo'!$B:$E,3,0)*J285,0)</f>
        <v>0</v>
      </c>
      <c r="M285" s="14">
        <f t="shared" si="12"/>
        <v>0</v>
      </c>
      <c r="N285" s="1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2.75" customHeight="1">
      <c r="A286" s="2"/>
      <c r="B286" s="14"/>
      <c r="C286" s="15"/>
      <c r="D286" s="25" t="str">
        <f t="shared" si="1"/>
        <v/>
      </c>
      <c r="E286" s="25" t="str">
        <f t="shared" si="2"/>
        <v/>
      </c>
      <c r="F286" s="15"/>
      <c r="G286" s="16"/>
      <c r="H286" s="16" t="str">
        <f>IFERROR(VLOOKUP(G286,'Costo x Articulo'!$B:$C,2,0),"")</f>
        <v/>
      </c>
      <c r="I286" s="16"/>
      <c r="J286" s="14"/>
      <c r="K286" s="14">
        <f>IFERROR(VLOOKUP(G286,'Costo x Articulo'!$B:$E,4,0)*J286,0)</f>
        <v>0</v>
      </c>
      <c r="L286" s="14">
        <f>IFERROR(VLOOKUP(G286,'Costo x Articulo'!$B:$E,3,0)*J286,0)</f>
        <v>0</v>
      </c>
      <c r="M286" s="14">
        <f t="shared" si="12"/>
        <v>0</v>
      </c>
      <c r="N286" s="1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2.75" customHeight="1">
      <c r="A287" s="2"/>
      <c r="B287" s="14"/>
      <c r="C287" s="15"/>
      <c r="D287" s="25" t="str">
        <f t="shared" si="1"/>
        <v/>
      </c>
      <c r="E287" s="25" t="str">
        <f t="shared" si="2"/>
        <v/>
      </c>
      <c r="F287" s="15"/>
      <c r="G287" s="16"/>
      <c r="H287" s="16" t="str">
        <f>IFERROR(VLOOKUP(G287,'Costo x Articulo'!$B:$C,2,0),"")</f>
        <v/>
      </c>
      <c r="I287" s="16"/>
      <c r="J287" s="14"/>
      <c r="K287" s="14">
        <f>IFERROR(VLOOKUP(G287,'Costo x Articulo'!$B:$E,4,0)*J287,0)</f>
        <v>0</v>
      </c>
      <c r="L287" s="14">
        <f>IFERROR(VLOOKUP(G287,'Costo x Articulo'!$B:$E,3,0)*J287,0)</f>
        <v>0</v>
      </c>
      <c r="M287" s="14">
        <f t="shared" si="12"/>
        <v>0</v>
      </c>
      <c r="N287" s="1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2.75" customHeight="1">
      <c r="A288" s="2"/>
      <c r="B288" s="14"/>
      <c r="C288" s="15"/>
      <c r="D288" s="25" t="str">
        <f t="shared" si="1"/>
        <v/>
      </c>
      <c r="E288" s="25" t="str">
        <f t="shared" si="2"/>
        <v/>
      </c>
      <c r="F288" s="15"/>
      <c r="G288" s="16"/>
      <c r="H288" s="16" t="str">
        <f>IFERROR(VLOOKUP(G288,'Costo x Articulo'!$B:$C,2,0),"")</f>
        <v/>
      </c>
      <c r="I288" s="16"/>
      <c r="J288" s="14"/>
      <c r="K288" s="14">
        <f>IFERROR(VLOOKUP(G288,'Costo x Articulo'!$B:$E,4,0)*J288,0)</f>
        <v>0</v>
      </c>
      <c r="L288" s="14">
        <f>IFERROR(VLOOKUP(G288,'Costo x Articulo'!$B:$E,3,0)*J288,0)</f>
        <v>0</v>
      </c>
      <c r="M288" s="14">
        <f t="shared" si="12"/>
        <v>0</v>
      </c>
      <c r="N288" s="1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2.75" customHeight="1">
      <c r="A289" s="2"/>
      <c r="B289" s="14"/>
      <c r="C289" s="15"/>
      <c r="D289" s="25" t="str">
        <f t="shared" si="1"/>
        <v/>
      </c>
      <c r="E289" s="25" t="str">
        <f t="shared" si="2"/>
        <v/>
      </c>
      <c r="F289" s="15"/>
      <c r="G289" s="16"/>
      <c r="H289" s="16" t="str">
        <f>IFERROR(VLOOKUP(G289,'Costo x Articulo'!$B:$C,2,0),"")</f>
        <v/>
      </c>
      <c r="I289" s="16"/>
      <c r="J289" s="14"/>
      <c r="K289" s="14">
        <f>IFERROR(VLOOKUP(G289,'Costo x Articulo'!$B:$E,4,0)*J289,0)</f>
        <v>0</v>
      </c>
      <c r="L289" s="14">
        <f>IFERROR(VLOOKUP(G289,'Costo x Articulo'!$B:$E,3,0)*J289,0)</f>
        <v>0</v>
      </c>
      <c r="M289" s="14">
        <f t="shared" si="12"/>
        <v>0</v>
      </c>
      <c r="N289" s="1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2.75" customHeight="1">
      <c r="A290" s="2"/>
      <c r="B290" s="14"/>
      <c r="C290" s="15"/>
      <c r="D290" s="25" t="str">
        <f t="shared" si="1"/>
        <v/>
      </c>
      <c r="E290" s="25" t="str">
        <f t="shared" si="2"/>
        <v/>
      </c>
      <c r="F290" s="15"/>
      <c r="G290" s="16"/>
      <c r="H290" s="16" t="str">
        <f>IFERROR(VLOOKUP(G290,'Costo x Articulo'!$B:$C,2,0),"")</f>
        <v/>
      </c>
      <c r="I290" s="16"/>
      <c r="J290" s="14"/>
      <c r="K290" s="14">
        <f>IFERROR(VLOOKUP(G290,'Costo x Articulo'!$B:$E,4,0)*J290,0)</f>
        <v>0</v>
      </c>
      <c r="L290" s="14">
        <f>IFERROR(VLOOKUP(G290,'Costo x Articulo'!$B:$E,3,0)*J290,0)</f>
        <v>0</v>
      </c>
      <c r="M290" s="14">
        <f t="shared" si="12"/>
        <v>0</v>
      </c>
      <c r="N290" s="1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2.75" customHeight="1">
      <c r="A291" s="2"/>
      <c r="B291" s="14"/>
      <c r="C291" s="15"/>
      <c r="D291" s="25" t="str">
        <f t="shared" si="1"/>
        <v/>
      </c>
      <c r="E291" s="25" t="str">
        <f t="shared" si="2"/>
        <v/>
      </c>
      <c r="F291" s="15"/>
      <c r="G291" s="16"/>
      <c r="H291" s="16" t="str">
        <f>IFERROR(VLOOKUP(G291,'Costo x Articulo'!$B:$C,2,0),"")</f>
        <v/>
      </c>
      <c r="I291" s="16"/>
      <c r="J291" s="14"/>
      <c r="K291" s="14">
        <f>IFERROR(VLOOKUP(G291,'Costo x Articulo'!$B:$E,4,0)*J291,0)</f>
        <v>0</v>
      </c>
      <c r="L291" s="14">
        <f>IFERROR(VLOOKUP(G291,'Costo x Articulo'!$B:$E,3,0)*J291,0)</f>
        <v>0</v>
      </c>
      <c r="M291" s="14">
        <f t="shared" si="12"/>
        <v>0</v>
      </c>
      <c r="N291" s="1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2.75" customHeight="1">
      <c r="A292" s="2"/>
      <c r="B292" s="14"/>
      <c r="C292" s="15"/>
      <c r="D292" s="25" t="str">
        <f t="shared" si="1"/>
        <v/>
      </c>
      <c r="E292" s="25" t="str">
        <f t="shared" si="2"/>
        <v/>
      </c>
      <c r="F292" s="15"/>
      <c r="G292" s="16"/>
      <c r="H292" s="16" t="str">
        <f>IFERROR(VLOOKUP(G292,'Costo x Articulo'!$B:$C,2,0),"")</f>
        <v/>
      </c>
      <c r="I292" s="16"/>
      <c r="J292" s="14"/>
      <c r="K292" s="14">
        <f>IFERROR(VLOOKUP(G292,'Costo x Articulo'!$B:$E,4,0)*J292,0)</f>
        <v>0</v>
      </c>
      <c r="L292" s="14">
        <f>IFERROR(VLOOKUP(G292,'Costo x Articulo'!$B:$E,3,0)*J292,0)</f>
        <v>0</v>
      </c>
      <c r="M292" s="14">
        <f t="shared" si="12"/>
        <v>0</v>
      </c>
      <c r="N292" s="1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2.75" customHeight="1">
      <c r="A293" s="2"/>
      <c r="B293" s="14"/>
      <c r="C293" s="15"/>
      <c r="D293" s="25" t="str">
        <f t="shared" si="1"/>
        <v/>
      </c>
      <c r="E293" s="25" t="str">
        <f t="shared" si="2"/>
        <v/>
      </c>
      <c r="F293" s="15"/>
      <c r="G293" s="16"/>
      <c r="H293" s="16" t="str">
        <f>IFERROR(VLOOKUP(G293,'Costo x Articulo'!$B:$C,2,0),"")</f>
        <v/>
      </c>
      <c r="I293" s="16"/>
      <c r="J293" s="14"/>
      <c r="K293" s="14">
        <f>IFERROR(VLOOKUP(G293,'Costo x Articulo'!$B:$E,4,0)*J293,0)</f>
        <v>0</v>
      </c>
      <c r="L293" s="14">
        <f>IFERROR(VLOOKUP(G293,'Costo x Articulo'!$B:$E,3,0)*J293,0)</f>
        <v>0</v>
      </c>
      <c r="M293" s="14">
        <f t="shared" si="12"/>
        <v>0</v>
      </c>
      <c r="N293" s="1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2.75" customHeight="1">
      <c r="A294" s="2"/>
      <c r="B294" s="14"/>
      <c r="C294" s="15"/>
      <c r="D294" s="25" t="str">
        <f t="shared" si="1"/>
        <v/>
      </c>
      <c r="E294" s="25" t="str">
        <f t="shared" si="2"/>
        <v/>
      </c>
      <c r="F294" s="15"/>
      <c r="G294" s="16"/>
      <c r="H294" s="16" t="str">
        <f>IFERROR(VLOOKUP(G294,'Costo x Articulo'!$B:$C,2,0),"")</f>
        <v/>
      </c>
      <c r="I294" s="16"/>
      <c r="J294" s="14"/>
      <c r="K294" s="14">
        <f>IFERROR(VLOOKUP(G294,'Costo x Articulo'!$B:$E,4,0)*J294,0)</f>
        <v>0</v>
      </c>
      <c r="L294" s="14">
        <f>IFERROR(VLOOKUP(G294,'Costo x Articulo'!$B:$E,3,0)*J294,0)</f>
        <v>0</v>
      </c>
      <c r="M294" s="14">
        <f t="shared" si="12"/>
        <v>0</v>
      </c>
      <c r="N294" s="1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2.75" customHeight="1">
      <c r="A295" s="2"/>
      <c r="B295" s="14"/>
      <c r="C295" s="15"/>
      <c r="D295" s="25" t="str">
        <f t="shared" si="1"/>
        <v/>
      </c>
      <c r="E295" s="25" t="str">
        <f t="shared" si="2"/>
        <v/>
      </c>
      <c r="F295" s="15"/>
      <c r="G295" s="16"/>
      <c r="H295" s="16" t="str">
        <f>IFERROR(VLOOKUP(G295,'Costo x Articulo'!$B:$C,2,0),"")</f>
        <v/>
      </c>
      <c r="I295" s="16"/>
      <c r="J295" s="14"/>
      <c r="K295" s="14">
        <f>IFERROR(VLOOKUP(G295,'Costo x Articulo'!$B:$E,4,0)*J295,0)</f>
        <v>0</v>
      </c>
      <c r="L295" s="14">
        <f>IFERROR(VLOOKUP(G295,'Costo x Articulo'!$B:$E,3,0)*J295,0)</f>
        <v>0</v>
      </c>
      <c r="M295" s="14">
        <f t="shared" si="12"/>
        <v>0</v>
      </c>
      <c r="N295" s="1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2.75" customHeight="1">
      <c r="A296" s="2"/>
      <c r="B296" s="14"/>
      <c r="C296" s="15"/>
      <c r="D296" s="25" t="str">
        <f t="shared" si="1"/>
        <v/>
      </c>
      <c r="E296" s="25" t="str">
        <f t="shared" si="2"/>
        <v/>
      </c>
      <c r="F296" s="15"/>
      <c r="G296" s="16"/>
      <c r="H296" s="16" t="str">
        <f>IFERROR(VLOOKUP(G296,'Costo x Articulo'!$B:$C,2,0),"")</f>
        <v/>
      </c>
      <c r="I296" s="16"/>
      <c r="J296" s="14"/>
      <c r="K296" s="14">
        <f>IFERROR(VLOOKUP(G296,'Costo x Articulo'!$B:$E,4,0)*J296,0)</f>
        <v>0</v>
      </c>
      <c r="L296" s="14">
        <f>IFERROR(VLOOKUP(G296,'Costo x Articulo'!$B:$E,3,0)*J296,0)</f>
        <v>0</v>
      </c>
      <c r="M296" s="14">
        <f t="shared" si="12"/>
        <v>0</v>
      </c>
      <c r="N296" s="1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2.75" customHeight="1">
      <c r="A297" s="2"/>
      <c r="B297" s="14"/>
      <c r="C297" s="15"/>
      <c r="D297" s="25" t="str">
        <f t="shared" si="1"/>
        <v/>
      </c>
      <c r="E297" s="25" t="str">
        <f t="shared" si="2"/>
        <v/>
      </c>
      <c r="F297" s="15"/>
      <c r="G297" s="16"/>
      <c r="H297" s="16" t="str">
        <f>IFERROR(VLOOKUP(G297,'Costo x Articulo'!$B:$C,2,0),"")</f>
        <v/>
      </c>
      <c r="I297" s="16"/>
      <c r="J297" s="14"/>
      <c r="K297" s="14">
        <f>IFERROR(VLOOKUP(G297,'Costo x Articulo'!$B:$E,4,0)*J297,0)</f>
        <v>0</v>
      </c>
      <c r="L297" s="14">
        <f>IFERROR(VLOOKUP(G297,'Costo x Articulo'!$B:$E,3,0)*J297,0)</f>
        <v>0</v>
      </c>
      <c r="M297" s="14">
        <f t="shared" si="12"/>
        <v>0</v>
      </c>
      <c r="N297" s="1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2.75" customHeight="1">
      <c r="A298" s="2"/>
      <c r="B298" s="14"/>
      <c r="C298" s="15"/>
      <c r="D298" s="25" t="str">
        <f t="shared" si="1"/>
        <v/>
      </c>
      <c r="E298" s="25" t="str">
        <f t="shared" si="2"/>
        <v/>
      </c>
      <c r="F298" s="15"/>
      <c r="G298" s="16"/>
      <c r="H298" s="16" t="str">
        <f>IFERROR(VLOOKUP(G298,'Costo x Articulo'!$B:$C,2,0),"")</f>
        <v/>
      </c>
      <c r="I298" s="16"/>
      <c r="J298" s="14"/>
      <c r="K298" s="14">
        <f>IFERROR(VLOOKUP(G298,'Costo x Articulo'!$B:$E,4,0)*J298,0)</f>
        <v>0</v>
      </c>
      <c r="L298" s="14">
        <f>IFERROR(VLOOKUP(G298,'Costo x Articulo'!$B:$E,3,0)*J298,0)</f>
        <v>0</v>
      </c>
      <c r="M298" s="14">
        <f t="shared" si="12"/>
        <v>0</v>
      </c>
      <c r="N298" s="1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2.75" customHeight="1">
      <c r="A299" s="2"/>
      <c r="B299" s="14"/>
      <c r="C299" s="15"/>
      <c r="D299" s="25" t="str">
        <f t="shared" si="1"/>
        <v/>
      </c>
      <c r="E299" s="25" t="str">
        <f t="shared" si="2"/>
        <v/>
      </c>
      <c r="F299" s="15"/>
      <c r="G299" s="16"/>
      <c r="H299" s="16" t="str">
        <f>IFERROR(VLOOKUP(G299,'Costo x Articulo'!$B:$C,2,0),"")</f>
        <v/>
      </c>
      <c r="I299" s="16"/>
      <c r="J299" s="14"/>
      <c r="K299" s="14">
        <f>IFERROR(VLOOKUP(G299,'Costo x Articulo'!$B:$E,4,0)*J299,0)</f>
        <v>0</v>
      </c>
      <c r="L299" s="14">
        <f>IFERROR(VLOOKUP(G299,'Costo x Articulo'!$B:$E,3,0)*J299,0)</f>
        <v>0</v>
      </c>
      <c r="M299" s="14">
        <f t="shared" si="12"/>
        <v>0</v>
      </c>
      <c r="N299" s="1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2.75" customHeight="1">
      <c r="A300" s="2"/>
      <c r="B300" s="14"/>
      <c r="C300" s="15"/>
      <c r="D300" s="25" t="str">
        <f t="shared" si="1"/>
        <v/>
      </c>
      <c r="E300" s="25" t="str">
        <f t="shared" si="2"/>
        <v/>
      </c>
      <c r="F300" s="15"/>
      <c r="G300" s="16"/>
      <c r="H300" s="16" t="str">
        <f>IFERROR(VLOOKUP(G300,'Costo x Articulo'!$B:$C,2,0),"")</f>
        <v/>
      </c>
      <c r="I300" s="16"/>
      <c r="J300" s="14"/>
      <c r="K300" s="14">
        <f>IFERROR(VLOOKUP(G300,'Costo x Articulo'!$B:$E,4,0)*J300,0)</f>
        <v>0</v>
      </c>
      <c r="L300" s="14">
        <f>IFERROR(VLOOKUP(G300,'Costo x Articulo'!$B:$E,3,0)*J300,0)</f>
        <v>0</v>
      </c>
      <c r="M300" s="14">
        <f t="shared" si="12"/>
        <v>0</v>
      </c>
      <c r="N300" s="1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2.75" customHeight="1">
      <c r="A301" s="2"/>
      <c r="B301" s="14"/>
      <c r="C301" s="15"/>
      <c r="D301" s="25" t="str">
        <f t="shared" si="1"/>
        <v/>
      </c>
      <c r="E301" s="25" t="str">
        <f t="shared" si="2"/>
        <v/>
      </c>
      <c r="F301" s="15"/>
      <c r="G301" s="16"/>
      <c r="H301" s="16" t="str">
        <f>IFERROR(VLOOKUP(G301,'Costo x Articulo'!$B:$C,2,0),"")</f>
        <v/>
      </c>
      <c r="I301" s="16"/>
      <c r="J301" s="14"/>
      <c r="K301" s="14">
        <f>IFERROR(VLOOKUP(G301,'Costo x Articulo'!$B:$E,4,0)*J301,0)</f>
        <v>0</v>
      </c>
      <c r="L301" s="14">
        <f>IFERROR(VLOOKUP(G301,'Costo x Articulo'!$B:$E,3,0)*J301,0)</f>
        <v>0</v>
      </c>
      <c r="M301" s="14">
        <f t="shared" si="12"/>
        <v>0</v>
      </c>
      <c r="N301" s="1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2.75" customHeight="1">
      <c r="A302" s="2"/>
      <c r="B302" s="14"/>
      <c r="C302" s="15"/>
      <c r="D302" s="25" t="str">
        <f t="shared" si="1"/>
        <v/>
      </c>
      <c r="E302" s="25" t="str">
        <f t="shared" si="2"/>
        <v/>
      </c>
      <c r="F302" s="15"/>
      <c r="G302" s="16"/>
      <c r="H302" s="16" t="str">
        <f>IFERROR(VLOOKUP(G302,'Costo x Articulo'!$B:$C,2,0),"")</f>
        <v/>
      </c>
      <c r="I302" s="16"/>
      <c r="J302" s="14"/>
      <c r="K302" s="14">
        <f>IFERROR(VLOOKUP(G302,'Costo x Articulo'!$B:$E,4,0)*J302,0)</f>
        <v>0</v>
      </c>
      <c r="L302" s="14">
        <f>IFERROR(VLOOKUP(G302,'Costo x Articulo'!$B:$E,3,0)*J302,0)</f>
        <v>0</v>
      </c>
      <c r="M302" s="14">
        <f t="shared" si="12"/>
        <v>0</v>
      </c>
      <c r="N302" s="1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2.75" customHeight="1">
      <c r="A303" s="2"/>
      <c r="B303" s="14"/>
      <c r="C303" s="15"/>
      <c r="D303" s="25" t="str">
        <f t="shared" si="1"/>
        <v/>
      </c>
      <c r="E303" s="25" t="str">
        <f t="shared" si="2"/>
        <v/>
      </c>
      <c r="F303" s="15"/>
      <c r="G303" s="16"/>
      <c r="H303" s="16" t="str">
        <f>IFERROR(VLOOKUP(G303,'Costo x Articulo'!$B:$C,2,0),"")</f>
        <v/>
      </c>
      <c r="I303" s="16"/>
      <c r="J303" s="14"/>
      <c r="K303" s="14">
        <f>IFERROR(VLOOKUP(G303,'Costo x Articulo'!$B:$E,4,0)*J303,0)</f>
        <v>0</v>
      </c>
      <c r="L303" s="14">
        <f>IFERROR(VLOOKUP(G303,'Costo x Articulo'!$B:$E,3,0)*J303,0)</f>
        <v>0</v>
      </c>
      <c r="M303" s="14">
        <f t="shared" si="12"/>
        <v>0</v>
      </c>
      <c r="N303" s="1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2.75" customHeight="1">
      <c r="A304" s="2"/>
      <c r="B304" s="14"/>
      <c r="C304" s="15"/>
      <c r="D304" s="25" t="str">
        <f t="shared" si="1"/>
        <v/>
      </c>
      <c r="E304" s="25" t="str">
        <f t="shared" si="2"/>
        <v/>
      </c>
      <c r="F304" s="15"/>
      <c r="G304" s="16"/>
      <c r="H304" s="16" t="str">
        <f>IFERROR(VLOOKUP(G304,'Costo x Articulo'!$B:$C,2,0),"")</f>
        <v/>
      </c>
      <c r="I304" s="16"/>
      <c r="J304" s="14"/>
      <c r="K304" s="14">
        <f>IFERROR(VLOOKUP(G304,'Costo x Articulo'!$B:$E,4,0)*J304,0)</f>
        <v>0</v>
      </c>
      <c r="L304" s="14">
        <f>IFERROR(VLOOKUP(G304,'Costo x Articulo'!$B:$E,3,0)*J304,0)</f>
        <v>0</v>
      </c>
      <c r="M304" s="14">
        <f t="shared" si="12"/>
        <v>0</v>
      </c>
      <c r="N304" s="1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2.75" customHeight="1">
      <c r="A305" s="2"/>
      <c r="B305" s="14"/>
      <c r="C305" s="15"/>
      <c r="D305" s="25" t="str">
        <f t="shared" si="1"/>
        <v/>
      </c>
      <c r="E305" s="25" t="str">
        <f t="shared" si="2"/>
        <v/>
      </c>
      <c r="F305" s="15"/>
      <c r="G305" s="16"/>
      <c r="H305" s="16" t="str">
        <f>IFERROR(VLOOKUP(G305,'Costo x Articulo'!$B:$C,2,0),"")</f>
        <v/>
      </c>
      <c r="I305" s="16"/>
      <c r="J305" s="14"/>
      <c r="K305" s="14">
        <f>IFERROR(VLOOKUP(G305,'Costo x Articulo'!$B:$E,4,0)*J305,0)</f>
        <v>0</v>
      </c>
      <c r="L305" s="14">
        <f>IFERROR(VLOOKUP(G305,'Costo x Articulo'!$B:$E,3,0)*J305,0)</f>
        <v>0</v>
      </c>
      <c r="M305" s="14">
        <f t="shared" si="12"/>
        <v>0</v>
      </c>
      <c r="N305" s="1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2.75" customHeight="1">
      <c r="A306" s="2"/>
      <c r="B306" s="14"/>
      <c r="C306" s="15"/>
      <c r="D306" s="25" t="str">
        <f t="shared" si="1"/>
        <v/>
      </c>
      <c r="E306" s="25" t="str">
        <f t="shared" si="2"/>
        <v/>
      </c>
      <c r="F306" s="15"/>
      <c r="G306" s="16"/>
      <c r="H306" s="16" t="str">
        <f>IFERROR(VLOOKUP(G306,'Costo x Articulo'!$B:$C,2,0),"")</f>
        <v/>
      </c>
      <c r="I306" s="16"/>
      <c r="J306" s="14"/>
      <c r="K306" s="14">
        <f>IFERROR(VLOOKUP(G306,'Costo x Articulo'!$B:$E,4,0)*J306,0)</f>
        <v>0</v>
      </c>
      <c r="L306" s="14">
        <f>IFERROR(VLOOKUP(G306,'Costo x Articulo'!$B:$E,3,0)*J306,0)</f>
        <v>0</v>
      </c>
      <c r="M306" s="14">
        <f t="shared" si="12"/>
        <v>0</v>
      </c>
      <c r="N306" s="1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2.75" customHeight="1">
      <c r="A307" s="2"/>
      <c r="B307" s="14"/>
      <c r="C307" s="15"/>
      <c r="D307" s="25" t="str">
        <f t="shared" si="1"/>
        <v/>
      </c>
      <c r="E307" s="25" t="str">
        <f t="shared" si="2"/>
        <v/>
      </c>
      <c r="F307" s="15"/>
      <c r="G307" s="16"/>
      <c r="H307" s="16" t="str">
        <f>IFERROR(VLOOKUP(G307,'Costo x Articulo'!$B:$C,2,0),"")</f>
        <v/>
      </c>
      <c r="I307" s="16"/>
      <c r="J307" s="14"/>
      <c r="K307" s="14">
        <f>IFERROR(VLOOKUP(G307,'Costo x Articulo'!$B:$E,4,0)*J307,0)</f>
        <v>0</v>
      </c>
      <c r="L307" s="14">
        <f>IFERROR(VLOOKUP(G307,'Costo x Articulo'!$B:$E,3,0)*J307,0)</f>
        <v>0</v>
      </c>
      <c r="M307" s="14">
        <f t="shared" si="12"/>
        <v>0</v>
      </c>
      <c r="N307" s="1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2.75" customHeight="1">
      <c r="A308" s="2"/>
      <c r="B308" s="14"/>
      <c r="C308" s="15"/>
      <c r="D308" s="25" t="str">
        <f t="shared" si="1"/>
        <v/>
      </c>
      <c r="E308" s="25" t="str">
        <f t="shared" si="2"/>
        <v/>
      </c>
      <c r="F308" s="15"/>
      <c r="G308" s="16"/>
      <c r="H308" s="16" t="str">
        <f>IFERROR(VLOOKUP(G308,'Costo x Articulo'!$B:$C,2,0),"")</f>
        <v/>
      </c>
      <c r="I308" s="16"/>
      <c r="J308" s="14"/>
      <c r="K308" s="14">
        <f>IFERROR(VLOOKUP(G308,'Costo x Articulo'!$B:$E,4,0)*J308,0)</f>
        <v>0</v>
      </c>
      <c r="L308" s="14">
        <f>IFERROR(VLOOKUP(G308,'Costo x Articulo'!$B:$E,3,0)*J308,0)</f>
        <v>0</v>
      </c>
      <c r="M308" s="14">
        <f t="shared" si="12"/>
        <v>0</v>
      </c>
      <c r="N308" s="1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2.75" customHeight="1">
      <c r="A309" s="2"/>
      <c r="B309" s="14"/>
      <c r="C309" s="15"/>
      <c r="D309" s="25" t="str">
        <f t="shared" si="1"/>
        <v/>
      </c>
      <c r="E309" s="25" t="str">
        <f t="shared" si="2"/>
        <v/>
      </c>
      <c r="F309" s="15"/>
      <c r="G309" s="16"/>
      <c r="H309" s="16" t="str">
        <f>IFERROR(VLOOKUP(G309,'Costo x Articulo'!$B:$C,2,0),"")</f>
        <v/>
      </c>
      <c r="I309" s="16"/>
      <c r="J309" s="14"/>
      <c r="K309" s="14">
        <f>IFERROR(VLOOKUP(G309,'Costo x Articulo'!$B:$E,4,0)*J309,0)</f>
        <v>0</v>
      </c>
      <c r="L309" s="14">
        <f>IFERROR(VLOOKUP(G309,'Costo x Articulo'!$B:$E,3,0)*J309,0)</f>
        <v>0</v>
      </c>
      <c r="M309" s="14">
        <f t="shared" si="12"/>
        <v>0</v>
      </c>
      <c r="N309" s="1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2.75" customHeight="1">
      <c r="A310" s="2"/>
      <c r="B310" s="14"/>
      <c r="C310" s="15"/>
      <c r="D310" s="25" t="str">
        <f t="shared" si="1"/>
        <v/>
      </c>
      <c r="E310" s="25" t="str">
        <f t="shared" si="2"/>
        <v/>
      </c>
      <c r="F310" s="15"/>
      <c r="G310" s="16"/>
      <c r="H310" s="16" t="str">
        <f>IFERROR(VLOOKUP(G310,'Costo x Articulo'!$B:$C,2,0),"")</f>
        <v/>
      </c>
      <c r="I310" s="16"/>
      <c r="J310" s="14"/>
      <c r="K310" s="14">
        <f>IFERROR(VLOOKUP(G310,'Costo x Articulo'!$B:$E,4,0)*J310,0)</f>
        <v>0</v>
      </c>
      <c r="L310" s="14">
        <f>IFERROR(VLOOKUP(G310,'Costo x Articulo'!$B:$E,3,0)*J310,0)</f>
        <v>0</v>
      </c>
      <c r="M310" s="14">
        <f t="shared" si="12"/>
        <v>0</v>
      </c>
      <c r="N310" s="1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2.75" customHeight="1">
      <c r="A311" s="2"/>
      <c r="B311" s="14"/>
      <c r="C311" s="15"/>
      <c r="D311" s="25" t="str">
        <f t="shared" si="1"/>
        <v/>
      </c>
      <c r="E311" s="25" t="str">
        <f t="shared" si="2"/>
        <v/>
      </c>
      <c r="F311" s="15"/>
      <c r="G311" s="16"/>
      <c r="H311" s="16" t="str">
        <f>IFERROR(VLOOKUP(G311,'Costo x Articulo'!$B:$C,2,0),"")</f>
        <v/>
      </c>
      <c r="I311" s="16"/>
      <c r="J311" s="14"/>
      <c r="K311" s="14">
        <f>IFERROR(VLOOKUP(G311,'Costo x Articulo'!$B:$E,4,0)*J311,0)</f>
        <v>0</v>
      </c>
      <c r="L311" s="14">
        <f>IFERROR(VLOOKUP(G311,'Costo x Articulo'!$B:$E,3,0)*J311,0)</f>
        <v>0</v>
      </c>
      <c r="M311" s="14">
        <f t="shared" si="12"/>
        <v>0</v>
      </c>
      <c r="N311" s="1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2.75" customHeight="1">
      <c r="A312" s="2"/>
      <c r="B312" s="14"/>
      <c r="C312" s="15"/>
      <c r="D312" s="25" t="str">
        <f t="shared" si="1"/>
        <v/>
      </c>
      <c r="E312" s="25" t="str">
        <f t="shared" si="2"/>
        <v/>
      </c>
      <c r="F312" s="15"/>
      <c r="G312" s="16"/>
      <c r="H312" s="16" t="str">
        <f>IFERROR(VLOOKUP(G312,'Costo x Articulo'!$B:$C,2,0),"")</f>
        <v/>
      </c>
      <c r="I312" s="16"/>
      <c r="J312" s="14"/>
      <c r="K312" s="14">
        <f>IFERROR(VLOOKUP(G312,'Costo x Articulo'!$B:$E,4,0)*J312,0)</f>
        <v>0</v>
      </c>
      <c r="L312" s="14">
        <f>IFERROR(VLOOKUP(G312,'Costo x Articulo'!$B:$E,3,0)*J312,0)</f>
        <v>0</v>
      </c>
      <c r="M312" s="14">
        <f t="shared" si="12"/>
        <v>0</v>
      </c>
      <c r="N312" s="1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2.75" customHeight="1">
      <c r="A313" s="2"/>
      <c r="B313" s="14"/>
      <c r="C313" s="15"/>
      <c r="D313" s="25" t="str">
        <f t="shared" si="1"/>
        <v/>
      </c>
      <c r="E313" s="25" t="str">
        <f t="shared" si="2"/>
        <v/>
      </c>
      <c r="F313" s="15"/>
      <c r="G313" s="16"/>
      <c r="H313" s="16" t="str">
        <f>IFERROR(VLOOKUP(G313,'Costo x Articulo'!$B:$C,2,0),"")</f>
        <v/>
      </c>
      <c r="I313" s="16"/>
      <c r="J313" s="14"/>
      <c r="K313" s="14">
        <f>IFERROR(VLOOKUP(G313,'Costo x Articulo'!$B:$E,4,0)*J313,0)</f>
        <v>0</v>
      </c>
      <c r="L313" s="14">
        <f>IFERROR(VLOOKUP(G313,'Costo x Articulo'!$B:$E,3,0)*J313,0)</f>
        <v>0</v>
      </c>
      <c r="M313" s="14">
        <f t="shared" si="12"/>
        <v>0</v>
      </c>
      <c r="N313" s="1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2.75" customHeight="1">
      <c r="A314" s="2"/>
      <c r="B314" s="14"/>
      <c r="C314" s="15"/>
      <c r="D314" s="25" t="str">
        <f t="shared" si="1"/>
        <v/>
      </c>
      <c r="E314" s="25" t="str">
        <f t="shared" si="2"/>
        <v/>
      </c>
      <c r="F314" s="15"/>
      <c r="G314" s="16"/>
      <c r="H314" s="16" t="str">
        <f>IFERROR(VLOOKUP(G314,'Costo x Articulo'!$B:$C,2,0),"")</f>
        <v/>
      </c>
      <c r="I314" s="16"/>
      <c r="J314" s="14"/>
      <c r="K314" s="14">
        <f>IFERROR(VLOOKUP(G314,'Costo x Articulo'!$B:$E,4,0)*J314,0)</f>
        <v>0</v>
      </c>
      <c r="L314" s="14">
        <f>IFERROR(VLOOKUP(G314,'Costo x Articulo'!$B:$E,3,0)*J314,0)</f>
        <v>0</v>
      </c>
      <c r="M314" s="14">
        <f t="shared" si="12"/>
        <v>0</v>
      </c>
      <c r="N314" s="1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2.75" customHeight="1">
      <c r="A315" s="2"/>
      <c r="B315" s="14"/>
      <c r="C315" s="15"/>
      <c r="D315" s="25" t="str">
        <f t="shared" si="1"/>
        <v/>
      </c>
      <c r="E315" s="25" t="str">
        <f t="shared" si="2"/>
        <v/>
      </c>
      <c r="F315" s="15"/>
      <c r="G315" s="16"/>
      <c r="H315" s="16" t="str">
        <f>IFERROR(VLOOKUP(G315,'Costo x Articulo'!$B:$C,2,0),"")</f>
        <v/>
      </c>
      <c r="I315" s="16"/>
      <c r="J315" s="14"/>
      <c r="K315" s="14">
        <f>IFERROR(VLOOKUP(G315,'Costo x Articulo'!$B:$E,4,0)*J315,0)</f>
        <v>0</v>
      </c>
      <c r="L315" s="14">
        <f>IFERROR(VLOOKUP(G315,'Costo x Articulo'!$B:$E,3,0)*J315,0)</f>
        <v>0</v>
      </c>
      <c r="M315" s="14">
        <f t="shared" si="12"/>
        <v>0</v>
      </c>
      <c r="N315" s="1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2.75" customHeight="1">
      <c r="A316" s="2"/>
      <c r="B316" s="14"/>
      <c r="C316" s="15"/>
      <c r="D316" s="25" t="str">
        <f t="shared" si="1"/>
        <v/>
      </c>
      <c r="E316" s="25" t="str">
        <f t="shared" si="2"/>
        <v/>
      </c>
      <c r="F316" s="15"/>
      <c r="G316" s="16"/>
      <c r="H316" s="16" t="str">
        <f>IFERROR(VLOOKUP(G316,'Costo x Articulo'!$B:$C,2,0),"")</f>
        <v/>
      </c>
      <c r="I316" s="16"/>
      <c r="J316" s="14"/>
      <c r="K316" s="14">
        <f>IFERROR(VLOOKUP(G316,'Costo x Articulo'!$B:$E,4,0)*J316,0)</f>
        <v>0</v>
      </c>
      <c r="L316" s="14">
        <f>IFERROR(VLOOKUP(G316,'Costo x Articulo'!$B:$E,3,0)*J316,0)</f>
        <v>0</v>
      </c>
      <c r="M316" s="14">
        <f t="shared" si="12"/>
        <v>0</v>
      </c>
      <c r="N316" s="1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2.75" customHeight="1">
      <c r="A317" s="2"/>
      <c r="B317" s="14"/>
      <c r="C317" s="15"/>
      <c r="D317" s="25" t="str">
        <f t="shared" si="1"/>
        <v/>
      </c>
      <c r="E317" s="25" t="str">
        <f t="shared" si="2"/>
        <v/>
      </c>
      <c r="F317" s="15"/>
      <c r="G317" s="16"/>
      <c r="H317" s="16" t="str">
        <f>IFERROR(VLOOKUP(G317,'Costo x Articulo'!$B:$C,2,0),"")</f>
        <v/>
      </c>
      <c r="I317" s="16"/>
      <c r="J317" s="14"/>
      <c r="K317" s="14">
        <f>IFERROR(VLOOKUP(G317,'Costo x Articulo'!$B:$E,4,0)*J317,0)</f>
        <v>0</v>
      </c>
      <c r="L317" s="14">
        <f>IFERROR(VLOOKUP(G317,'Costo x Articulo'!$B:$E,3,0)*J317,0)</f>
        <v>0</v>
      </c>
      <c r="M317" s="14">
        <f t="shared" si="12"/>
        <v>0</v>
      </c>
      <c r="N317" s="1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2.75" customHeight="1">
      <c r="A318" s="2"/>
      <c r="B318" s="14"/>
      <c r="C318" s="15"/>
      <c r="D318" s="25" t="str">
        <f t="shared" si="1"/>
        <v/>
      </c>
      <c r="E318" s="25" t="str">
        <f t="shared" si="2"/>
        <v/>
      </c>
      <c r="F318" s="15"/>
      <c r="G318" s="16"/>
      <c r="H318" s="16" t="str">
        <f>IFERROR(VLOOKUP(G318,'Costo x Articulo'!$B:$C,2,0),"")</f>
        <v/>
      </c>
      <c r="I318" s="16"/>
      <c r="J318" s="14"/>
      <c r="K318" s="14">
        <f>IFERROR(VLOOKUP(G318,'Costo x Articulo'!$B:$E,4,0)*J318,0)</f>
        <v>0</v>
      </c>
      <c r="L318" s="14">
        <f>IFERROR(VLOOKUP(G318,'Costo x Articulo'!$B:$E,3,0)*J318,0)</f>
        <v>0</v>
      </c>
      <c r="M318" s="14">
        <f t="shared" si="12"/>
        <v>0</v>
      </c>
      <c r="N318" s="1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2.75" customHeight="1">
      <c r="A319" s="2"/>
      <c r="B319" s="14"/>
      <c r="C319" s="15"/>
      <c r="D319" s="25" t="str">
        <f t="shared" si="1"/>
        <v/>
      </c>
      <c r="E319" s="25" t="str">
        <f t="shared" si="2"/>
        <v/>
      </c>
      <c r="F319" s="15"/>
      <c r="G319" s="16"/>
      <c r="H319" s="16" t="str">
        <f>IFERROR(VLOOKUP(G319,'Costo x Articulo'!$B:$C,2,0),"")</f>
        <v/>
      </c>
      <c r="I319" s="16"/>
      <c r="J319" s="14"/>
      <c r="K319" s="14">
        <f>IFERROR(VLOOKUP(G319,'Costo x Articulo'!$B:$E,4,0)*J319,0)</f>
        <v>0</v>
      </c>
      <c r="L319" s="14">
        <f>IFERROR(VLOOKUP(G319,'Costo x Articulo'!$B:$E,3,0)*J319,0)</f>
        <v>0</v>
      </c>
      <c r="M319" s="14">
        <f t="shared" si="12"/>
        <v>0</v>
      </c>
      <c r="N319" s="1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2.75" customHeight="1">
      <c r="A320" s="2"/>
      <c r="B320" s="14"/>
      <c r="C320" s="15"/>
      <c r="D320" s="25" t="str">
        <f t="shared" si="1"/>
        <v/>
      </c>
      <c r="E320" s="25" t="str">
        <f t="shared" si="2"/>
        <v/>
      </c>
      <c r="F320" s="15"/>
      <c r="G320" s="16"/>
      <c r="H320" s="16" t="str">
        <f>IFERROR(VLOOKUP(G320,'Costo x Articulo'!$B:$C,2,0),"")</f>
        <v/>
      </c>
      <c r="I320" s="16"/>
      <c r="J320" s="14"/>
      <c r="K320" s="14">
        <f>IFERROR(VLOOKUP(G320,'Costo x Articulo'!$B:$E,4,0)*J320,0)</f>
        <v>0</v>
      </c>
      <c r="L320" s="14">
        <f>IFERROR(VLOOKUP(G320,'Costo x Articulo'!$B:$E,3,0)*J320,0)</f>
        <v>0</v>
      </c>
      <c r="M320" s="14">
        <f t="shared" si="12"/>
        <v>0</v>
      </c>
      <c r="N320" s="1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2.75" customHeight="1">
      <c r="A321" s="2"/>
      <c r="B321" s="14"/>
      <c r="C321" s="15"/>
      <c r="D321" s="25" t="str">
        <f t="shared" si="1"/>
        <v/>
      </c>
      <c r="E321" s="25" t="str">
        <f t="shared" si="2"/>
        <v/>
      </c>
      <c r="F321" s="15"/>
      <c r="G321" s="16"/>
      <c r="H321" s="16" t="str">
        <f>IFERROR(VLOOKUP(G321,'Costo x Articulo'!$B:$C,2,0),"")</f>
        <v/>
      </c>
      <c r="I321" s="16"/>
      <c r="J321" s="14"/>
      <c r="K321" s="14">
        <f>IFERROR(VLOOKUP(G321,'Costo x Articulo'!$B:$E,4,0)*J321,0)</f>
        <v>0</v>
      </c>
      <c r="L321" s="14">
        <f>IFERROR(VLOOKUP(G321,'Costo x Articulo'!$B:$E,3,0)*J321,0)</f>
        <v>0</v>
      </c>
      <c r="M321" s="14">
        <f t="shared" si="12"/>
        <v>0</v>
      </c>
      <c r="N321" s="1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2.75" customHeight="1">
      <c r="A322" s="2"/>
      <c r="B322" s="14"/>
      <c r="C322" s="15"/>
      <c r="D322" s="25" t="str">
        <f t="shared" si="1"/>
        <v/>
      </c>
      <c r="E322" s="25" t="str">
        <f t="shared" si="2"/>
        <v/>
      </c>
      <c r="F322" s="15"/>
      <c r="G322" s="16"/>
      <c r="H322" s="16" t="str">
        <f>IFERROR(VLOOKUP(G322,'Costo x Articulo'!$B:$C,2,0),"")</f>
        <v/>
      </c>
      <c r="I322" s="16"/>
      <c r="J322" s="14"/>
      <c r="K322" s="14">
        <f>IFERROR(VLOOKUP(G322,'Costo x Articulo'!$B:$E,4,0)*J322,0)</f>
        <v>0</v>
      </c>
      <c r="L322" s="14">
        <f>IFERROR(VLOOKUP(G322,'Costo x Articulo'!$B:$E,3,0)*J322,0)</f>
        <v>0</v>
      </c>
      <c r="M322" s="14">
        <f t="shared" si="12"/>
        <v>0</v>
      </c>
      <c r="N322" s="1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2.75" customHeight="1">
      <c r="A323" s="2"/>
      <c r="B323" s="14"/>
      <c r="C323" s="15"/>
      <c r="D323" s="25" t="str">
        <f t="shared" si="1"/>
        <v/>
      </c>
      <c r="E323" s="25" t="str">
        <f t="shared" si="2"/>
        <v/>
      </c>
      <c r="F323" s="15"/>
      <c r="G323" s="16"/>
      <c r="H323" s="16" t="str">
        <f>IFERROR(VLOOKUP(G323,'Costo x Articulo'!$B:$C,2,0),"")</f>
        <v/>
      </c>
      <c r="I323" s="16"/>
      <c r="J323" s="14"/>
      <c r="K323" s="14">
        <f>IFERROR(VLOOKUP(G323,'Costo x Articulo'!$B:$E,4,0)*J323,0)</f>
        <v>0</v>
      </c>
      <c r="L323" s="14">
        <f>IFERROR(VLOOKUP(G323,'Costo x Articulo'!$B:$E,3,0)*J323,0)</f>
        <v>0</v>
      </c>
      <c r="M323" s="14">
        <f t="shared" si="12"/>
        <v>0</v>
      </c>
      <c r="N323" s="1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2.75" customHeight="1">
      <c r="A324" s="2"/>
      <c r="B324" s="14"/>
      <c r="C324" s="15"/>
      <c r="D324" s="25" t="str">
        <f t="shared" si="1"/>
        <v/>
      </c>
      <c r="E324" s="25" t="str">
        <f t="shared" si="2"/>
        <v/>
      </c>
      <c r="F324" s="15"/>
      <c r="G324" s="16"/>
      <c r="H324" s="16" t="str">
        <f>IFERROR(VLOOKUP(G324,'Costo x Articulo'!$B:$C,2,0),"")</f>
        <v/>
      </c>
      <c r="I324" s="16"/>
      <c r="J324" s="14"/>
      <c r="K324" s="14">
        <f>IFERROR(VLOOKUP(G324,'Costo x Articulo'!$B:$E,4,0)*J324,0)</f>
        <v>0</v>
      </c>
      <c r="L324" s="14">
        <f>IFERROR(VLOOKUP(G324,'Costo x Articulo'!$B:$E,3,0)*J324,0)</f>
        <v>0</v>
      </c>
      <c r="M324" s="14">
        <f t="shared" si="12"/>
        <v>0</v>
      </c>
      <c r="N324" s="1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2.75" customHeight="1">
      <c r="A325" s="2"/>
      <c r="B325" s="14"/>
      <c r="C325" s="15"/>
      <c r="D325" s="25" t="str">
        <f t="shared" si="1"/>
        <v/>
      </c>
      <c r="E325" s="25" t="str">
        <f t="shared" si="2"/>
        <v/>
      </c>
      <c r="F325" s="15"/>
      <c r="G325" s="16"/>
      <c r="H325" s="16" t="str">
        <f>IFERROR(VLOOKUP(G325,'Costo x Articulo'!$B:$C,2,0),"")</f>
        <v/>
      </c>
      <c r="I325" s="16"/>
      <c r="J325" s="14"/>
      <c r="K325" s="14">
        <f>IFERROR(VLOOKUP(G325,'Costo x Articulo'!$B:$E,4,0)*J325,0)</f>
        <v>0</v>
      </c>
      <c r="L325" s="14">
        <f>IFERROR(VLOOKUP(G325,'Costo x Articulo'!$B:$E,3,0)*J325,0)</f>
        <v>0</v>
      </c>
      <c r="M325" s="14">
        <f t="shared" si="12"/>
        <v>0</v>
      </c>
      <c r="N325" s="1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2.75" customHeight="1">
      <c r="A326" s="2"/>
      <c r="B326" s="14"/>
      <c r="C326" s="15"/>
      <c r="D326" s="25" t="str">
        <f t="shared" si="1"/>
        <v/>
      </c>
      <c r="E326" s="25" t="str">
        <f t="shared" si="2"/>
        <v/>
      </c>
      <c r="F326" s="15"/>
      <c r="G326" s="16"/>
      <c r="H326" s="16" t="str">
        <f>IFERROR(VLOOKUP(G326,'Costo x Articulo'!$B:$C,2,0),"")</f>
        <v/>
      </c>
      <c r="I326" s="16"/>
      <c r="J326" s="14"/>
      <c r="K326" s="14">
        <f>IFERROR(VLOOKUP(G326,'Costo x Articulo'!$B:$E,4,0)*J326,0)</f>
        <v>0</v>
      </c>
      <c r="L326" s="14">
        <f>IFERROR(VLOOKUP(G326,'Costo x Articulo'!$B:$E,3,0)*J326,0)</f>
        <v>0</v>
      </c>
      <c r="M326" s="14">
        <f t="shared" si="12"/>
        <v>0</v>
      </c>
      <c r="N326" s="1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2.75" customHeight="1">
      <c r="A327" s="2"/>
      <c r="B327" s="14"/>
      <c r="C327" s="15"/>
      <c r="D327" s="25" t="str">
        <f t="shared" si="1"/>
        <v/>
      </c>
      <c r="E327" s="25" t="str">
        <f t="shared" si="2"/>
        <v/>
      </c>
      <c r="F327" s="15"/>
      <c r="G327" s="16"/>
      <c r="H327" s="16" t="str">
        <f>IFERROR(VLOOKUP(G327,'Costo x Articulo'!$B:$C,2,0),"")</f>
        <v/>
      </c>
      <c r="I327" s="16"/>
      <c r="J327" s="14"/>
      <c r="K327" s="14">
        <f>IFERROR(VLOOKUP(G327,'Costo x Articulo'!$B:$E,4,0)*J327,0)</f>
        <v>0</v>
      </c>
      <c r="L327" s="14">
        <f>IFERROR(VLOOKUP(G327,'Costo x Articulo'!$B:$E,3,0)*J327,0)</f>
        <v>0</v>
      </c>
      <c r="M327" s="14">
        <f t="shared" si="12"/>
        <v>0</v>
      </c>
      <c r="N327" s="1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2.75" customHeight="1">
      <c r="A328" s="2"/>
      <c r="B328" s="14"/>
      <c r="C328" s="15"/>
      <c r="D328" s="25" t="str">
        <f t="shared" si="1"/>
        <v/>
      </c>
      <c r="E328" s="25" t="str">
        <f t="shared" si="2"/>
        <v/>
      </c>
      <c r="F328" s="15"/>
      <c r="G328" s="16"/>
      <c r="H328" s="16" t="str">
        <f>IFERROR(VLOOKUP(G328,'Costo x Articulo'!$B:$C,2,0),"")</f>
        <v/>
      </c>
      <c r="I328" s="16"/>
      <c r="J328" s="14"/>
      <c r="K328" s="14">
        <f>IFERROR(VLOOKUP(G328,'Costo x Articulo'!$B:$E,4,0)*J328,0)</f>
        <v>0</v>
      </c>
      <c r="L328" s="14">
        <f>IFERROR(VLOOKUP(G328,'Costo x Articulo'!$B:$E,3,0)*J328,0)</f>
        <v>0</v>
      </c>
      <c r="M328" s="14">
        <f t="shared" si="12"/>
        <v>0</v>
      </c>
      <c r="N328" s="1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2.75" customHeight="1">
      <c r="A329" s="2"/>
      <c r="B329" s="14"/>
      <c r="C329" s="15"/>
      <c r="D329" s="25" t="str">
        <f t="shared" si="1"/>
        <v/>
      </c>
      <c r="E329" s="25" t="str">
        <f t="shared" si="2"/>
        <v/>
      </c>
      <c r="F329" s="15"/>
      <c r="G329" s="16"/>
      <c r="H329" s="16" t="str">
        <f>IFERROR(VLOOKUP(G329,'Costo x Articulo'!$B:$C,2,0),"")</f>
        <v/>
      </c>
      <c r="I329" s="16"/>
      <c r="J329" s="14"/>
      <c r="K329" s="14">
        <f>IFERROR(VLOOKUP(G329,'Costo x Articulo'!$B:$E,4,0)*J329,0)</f>
        <v>0</v>
      </c>
      <c r="L329" s="14">
        <f>IFERROR(VLOOKUP(G329,'Costo x Articulo'!$B:$E,3,0)*J329,0)</f>
        <v>0</v>
      </c>
      <c r="M329" s="14">
        <f t="shared" si="12"/>
        <v>0</v>
      </c>
      <c r="N329" s="1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2.75" customHeight="1">
      <c r="A330" s="2"/>
      <c r="B330" s="14"/>
      <c r="C330" s="15"/>
      <c r="D330" s="25" t="str">
        <f t="shared" si="1"/>
        <v/>
      </c>
      <c r="E330" s="25" t="str">
        <f t="shared" si="2"/>
        <v/>
      </c>
      <c r="F330" s="15"/>
      <c r="G330" s="16"/>
      <c r="H330" s="16" t="str">
        <f>IFERROR(VLOOKUP(G330,'Costo x Articulo'!$B:$C,2,0),"")</f>
        <v/>
      </c>
      <c r="I330" s="16"/>
      <c r="J330" s="14"/>
      <c r="K330" s="14">
        <f>IFERROR(VLOOKUP(G330,'Costo x Articulo'!$B:$E,4,0)*J330,0)</f>
        <v>0</v>
      </c>
      <c r="L330" s="14">
        <f>IFERROR(VLOOKUP(G330,'Costo x Articulo'!$B:$E,3,0)*J330,0)</f>
        <v>0</v>
      </c>
      <c r="M330" s="14">
        <f t="shared" si="12"/>
        <v>0</v>
      </c>
      <c r="N330" s="1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2.75" customHeight="1">
      <c r="A331" s="2"/>
      <c r="B331" s="14"/>
      <c r="C331" s="15"/>
      <c r="D331" s="25" t="str">
        <f t="shared" si="1"/>
        <v/>
      </c>
      <c r="E331" s="25" t="str">
        <f t="shared" si="2"/>
        <v/>
      </c>
      <c r="F331" s="15"/>
      <c r="G331" s="16"/>
      <c r="H331" s="16" t="str">
        <f>IFERROR(VLOOKUP(G331,'Costo x Articulo'!$B:$C,2,0),"")</f>
        <v/>
      </c>
      <c r="I331" s="16"/>
      <c r="J331" s="14"/>
      <c r="K331" s="14">
        <f>IFERROR(VLOOKUP(G331,'Costo x Articulo'!$B:$E,4,0)*J331,0)</f>
        <v>0</v>
      </c>
      <c r="L331" s="14">
        <f>IFERROR(VLOOKUP(G331,'Costo x Articulo'!$B:$E,3,0)*J331,0)</f>
        <v>0</v>
      </c>
      <c r="M331" s="14">
        <f t="shared" si="12"/>
        <v>0</v>
      </c>
      <c r="N331" s="1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2.75" customHeight="1">
      <c r="A332" s="2"/>
      <c r="B332" s="14"/>
      <c r="C332" s="15"/>
      <c r="D332" s="25" t="str">
        <f t="shared" si="1"/>
        <v/>
      </c>
      <c r="E332" s="25" t="str">
        <f t="shared" si="2"/>
        <v/>
      </c>
      <c r="F332" s="15"/>
      <c r="G332" s="16"/>
      <c r="H332" s="16" t="str">
        <f>IFERROR(VLOOKUP(G332,'Costo x Articulo'!$B:$C,2,0),"")</f>
        <v/>
      </c>
      <c r="I332" s="16"/>
      <c r="J332" s="14"/>
      <c r="K332" s="14">
        <f>IFERROR(VLOOKUP(G332,'Costo x Articulo'!$B:$E,4,0)*J332,0)</f>
        <v>0</v>
      </c>
      <c r="L332" s="14">
        <f>IFERROR(VLOOKUP(G332,'Costo x Articulo'!$B:$E,3,0)*J332,0)</f>
        <v>0</v>
      </c>
      <c r="M332" s="14">
        <f t="shared" si="12"/>
        <v>0</v>
      </c>
      <c r="N332" s="1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2.75" customHeight="1">
      <c r="A333" s="2"/>
      <c r="B333" s="14"/>
      <c r="C333" s="15"/>
      <c r="D333" s="25" t="str">
        <f t="shared" si="1"/>
        <v/>
      </c>
      <c r="E333" s="25" t="str">
        <f t="shared" si="2"/>
        <v/>
      </c>
      <c r="F333" s="15"/>
      <c r="G333" s="16"/>
      <c r="H333" s="16" t="str">
        <f>IFERROR(VLOOKUP(G333,'Costo x Articulo'!$B:$C,2,0),"")</f>
        <v/>
      </c>
      <c r="I333" s="16"/>
      <c r="J333" s="14"/>
      <c r="K333" s="14">
        <f>IFERROR(VLOOKUP(G333,'Costo x Articulo'!$B:$E,4,0)*J333,0)</f>
        <v>0</v>
      </c>
      <c r="L333" s="14">
        <f>IFERROR(VLOOKUP(G333,'Costo x Articulo'!$B:$E,3,0)*J333,0)</f>
        <v>0</v>
      </c>
      <c r="M333" s="14">
        <f t="shared" si="12"/>
        <v>0</v>
      </c>
      <c r="N333" s="1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2.75" customHeight="1">
      <c r="A334" s="2"/>
      <c r="B334" s="14"/>
      <c r="C334" s="15"/>
      <c r="D334" s="25" t="str">
        <f t="shared" si="1"/>
        <v/>
      </c>
      <c r="E334" s="25" t="str">
        <f t="shared" si="2"/>
        <v/>
      </c>
      <c r="F334" s="15"/>
      <c r="G334" s="16"/>
      <c r="H334" s="16" t="str">
        <f>IFERROR(VLOOKUP(G334,'Costo x Articulo'!$B:$C,2,0),"")</f>
        <v/>
      </c>
      <c r="I334" s="16"/>
      <c r="J334" s="14"/>
      <c r="K334" s="14">
        <f>IFERROR(VLOOKUP(G334,'Costo x Articulo'!$B:$E,4,0)*J334,0)</f>
        <v>0</v>
      </c>
      <c r="L334" s="14">
        <f>IFERROR(VLOOKUP(G334,'Costo x Articulo'!$B:$E,3,0)*J334,0)</f>
        <v>0</v>
      </c>
      <c r="M334" s="14">
        <f t="shared" si="12"/>
        <v>0</v>
      </c>
      <c r="N334" s="1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2.75" customHeight="1">
      <c r="A335" s="2"/>
      <c r="B335" s="14"/>
      <c r="C335" s="15"/>
      <c r="D335" s="25" t="str">
        <f t="shared" si="1"/>
        <v/>
      </c>
      <c r="E335" s="25" t="str">
        <f t="shared" si="2"/>
        <v/>
      </c>
      <c r="F335" s="15"/>
      <c r="G335" s="16"/>
      <c r="H335" s="16" t="str">
        <f>IFERROR(VLOOKUP(G335,'Costo x Articulo'!$B:$C,2,0),"")</f>
        <v/>
      </c>
      <c r="I335" s="16"/>
      <c r="J335" s="14"/>
      <c r="K335" s="14">
        <f>IFERROR(VLOOKUP(G335,'Costo x Articulo'!$B:$E,4,0)*J335,0)</f>
        <v>0</v>
      </c>
      <c r="L335" s="14">
        <f>IFERROR(VLOOKUP(G335,'Costo x Articulo'!$B:$E,3,0)*J335,0)</f>
        <v>0</v>
      </c>
      <c r="M335" s="14">
        <f t="shared" si="12"/>
        <v>0</v>
      </c>
      <c r="N335" s="1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2.75" customHeight="1">
      <c r="A336" s="2"/>
      <c r="B336" s="14"/>
      <c r="C336" s="15"/>
      <c r="D336" s="25" t="str">
        <f t="shared" si="1"/>
        <v/>
      </c>
      <c r="E336" s="25" t="str">
        <f t="shared" si="2"/>
        <v/>
      </c>
      <c r="F336" s="15"/>
      <c r="G336" s="16"/>
      <c r="H336" s="16" t="str">
        <f>IFERROR(VLOOKUP(G336,'Costo x Articulo'!$B:$C,2,0),"")</f>
        <v/>
      </c>
      <c r="I336" s="16"/>
      <c r="J336" s="14"/>
      <c r="K336" s="14">
        <f>IFERROR(VLOOKUP(G336,'Costo x Articulo'!$B:$E,4,0)*J336,0)</f>
        <v>0</v>
      </c>
      <c r="L336" s="14">
        <f>IFERROR(VLOOKUP(G336,'Costo x Articulo'!$B:$E,3,0)*J336,0)</f>
        <v>0</v>
      </c>
      <c r="M336" s="14">
        <f t="shared" si="12"/>
        <v>0</v>
      </c>
      <c r="N336" s="1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2.75" customHeight="1">
      <c r="A337" s="2"/>
      <c r="B337" s="14"/>
      <c r="C337" s="15"/>
      <c r="D337" s="25" t="str">
        <f t="shared" si="1"/>
        <v/>
      </c>
      <c r="E337" s="25" t="str">
        <f t="shared" si="2"/>
        <v/>
      </c>
      <c r="F337" s="15"/>
      <c r="G337" s="16"/>
      <c r="H337" s="16" t="str">
        <f>IFERROR(VLOOKUP(G337,'Costo x Articulo'!$B:$C,2,0),"")</f>
        <v/>
      </c>
      <c r="I337" s="16"/>
      <c r="J337" s="14"/>
      <c r="K337" s="14">
        <f>IFERROR(VLOOKUP(G337,'Costo x Articulo'!$B:$E,4,0)*J337,0)</f>
        <v>0</v>
      </c>
      <c r="L337" s="14">
        <f>IFERROR(VLOOKUP(G337,'Costo x Articulo'!$B:$E,3,0)*J337,0)</f>
        <v>0</v>
      </c>
      <c r="M337" s="14">
        <f t="shared" si="12"/>
        <v>0</v>
      </c>
      <c r="N337" s="1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2.75" customHeight="1">
      <c r="A338" s="2"/>
      <c r="B338" s="14"/>
      <c r="C338" s="15"/>
      <c r="D338" s="25" t="str">
        <f t="shared" si="1"/>
        <v/>
      </c>
      <c r="E338" s="25" t="str">
        <f t="shared" si="2"/>
        <v/>
      </c>
      <c r="F338" s="15"/>
      <c r="G338" s="16"/>
      <c r="H338" s="16" t="str">
        <f>IFERROR(VLOOKUP(G338,'Costo x Articulo'!$B:$C,2,0),"")</f>
        <v/>
      </c>
      <c r="I338" s="16"/>
      <c r="J338" s="14"/>
      <c r="K338" s="14">
        <f>IFERROR(VLOOKUP(G338,'Costo x Articulo'!$B:$E,4,0)*J338,0)</f>
        <v>0</v>
      </c>
      <c r="L338" s="14">
        <f>IFERROR(VLOOKUP(G338,'Costo x Articulo'!$B:$E,3,0)*J338,0)</f>
        <v>0</v>
      </c>
      <c r="M338" s="14">
        <f t="shared" si="12"/>
        <v>0</v>
      </c>
      <c r="N338" s="1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2.75" customHeight="1">
      <c r="A339" s="2"/>
      <c r="B339" s="14"/>
      <c r="C339" s="15"/>
      <c r="D339" s="25" t="str">
        <f t="shared" si="1"/>
        <v/>
      </c>
      <c r="E339" s="25" t="str">
        <f t="shared" si="2"/>
        <v/>
      </c>
      <c r="F339" s="15"/>
      <c r="G339" s="16"/>
      <c r="H339" s="16" t="str">
        <f>IFERROR(VLOOKUP(G339,'Costo x Articulo'!$B:$C,2,0),"")</f>
        <v/>
      </c>
      <c r="I339" s="16"/>
      <c r="J339" s="14"/>
      <c r="K339" s="14">
        <f>IFERROR(VLOOKUP(G339,'Costo x Articulo'!$B:$E,4,0)*J339,0)</f>
        <v>0</v>
      </c>
      <c r="L339" s="14">
        <f>IFERROR(VLOOKUP(G339,'Costo x Articulo'!$B:$E,3,0)*J339,0)</f>
        <v>0</v>
      </c>
      <c r="M339" s="14">
        <f t="shared" si="12"/>
        <v>0</v>
      </c>
      <c r="N339" s="1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2.75" customHeight="1">
      <c r="A340" s="2"/>
      <c r="B340" s="14"/>
      <c r="C340" s="15"/>
      <c r="D340" s="25" t="str">
        <f t="shared" si="1"/>
        <v/>
      </c>
      <c r="E340" s="25" t="str">
        <f t="shared" si="2"/>
        <v/>
      </c>
      <c r="F340" s="15"/>
      <c r="G340" s="16"/>
      <c r="H340" s="16" t="str">
        <f>IFERROR(VLOOKUP(G340,'Costo x Articulo'!$B:$C,2,0),"")</f>
        <v/>
      </c>
      <c r="I340" s="16"/>
      <c r="J340" s="14"/>
      <c r="K340" s="14">
        <f>IFERROR(VLOOKUP(G340,'Costo x Articulo'!$B:$E,4,0)*J340,0)</f>
        <v>0</v>
      </c>
      <c r="L340" s="14">
        <f>IFERROR(VLOOKUP(G340,'Costo x Articulo'!$B:$E,3,0)*J340,0)</f>
        <v>0</v>
      </c>
      <c r="M340" s="14">
        <f t="shared" si="12"/>
        <v>0</v>
      </c>
      <c r="N340" s="1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2.75" customHeight="1">
      <c r="A341" s="2"/>
      <c r="B341" s="14"/>
      <c r="C341" s="15"/>
      <c r="D341" s="25" t="str">
        <f t="shared" si="1"/>
        <v/>
      </c>
      <c r="E341" s="25" t="str">
        <f t="shared" si="2"/>
        <v/>
      </c>
      <c r="F341" s="15"/>
      <c r="G341" s="16"/>
      <c r="H341" s="16" t="str">
        <f>IFERROR(VLOOKUP(G341,'Costo x Articulo'!$B:$C,2,0),"")</f>
        <v/>
      </c>
      <c r="I341" s="16"/>
      <c r="J341" s="14"/>
      <c r="K341" s="14">
        <f>IFERROR(VLOOKUP(G341,'Costo x Articulo'!$B:$E,4,0)*J341,0)</f>
        <v>0</v>
      </c>
      <c r="L341" s="14">
        <f>IFERROR(VLOOKUP(G341,'Costo x Articulo'!$B:$E,3,0)*J341,0)</f>
        <v>0</v>
      </c>
      <c r="M341" s="14">
        <f t="shared" si="12"/>
        <v>0</v>
      </c>
      <c r="N341" s="1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2.75" customHeight="1">
      <c r="A342" s="2"/>
      <c r="B342" s="14"/>
      <c r="C342" s="15"/>
      <c r="D342" s="25" t="str">
        <f t="shared" si="1"/>
        <v/>
      </c>
      <c r="E342" s="25" t="str">
        <f t="shared" si="2"/>
        <v/>
      </c>
      <c r="F342" s="15"/>
      <c r="G342" s="16"/>
      <c r="H342" s="16" t="str">
        <f>IFERROR(VLOOKUP(G342,'Costo x Articulo'!$B:$C,2,0),"")</f>
        <v/>
      </c>
      <c r="I342" s="16"/>
      <c r="J342" s="14"/>
      <c r="K342" s="14">
        <f>IFERROR(VLOOKUP(G342,'Costo x Articulo'!$B:$E,4,0)*J342,0)</f>
        <v>0</v>
      </c>
      <c r="L342" s="14">
        <f>IFERROR(VLOOKUP(G342,'Costo x Articulo'!$B:$E,3,0)*J342,0)</f>
        <v>0</v>
      </c>
      <c r="M342" s="14">
        <f t="shared" si="12"/>
        <v>0</v>
      </c>
      <c r="N342" s="1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2.75" customHeight="1">
      <c r="A343" s="2"/>
      <c r="B343" s="14"/>
      <c r="C343" s="15"/>
      <c r="D343" s="25" t="str">
        <f t="shared" si="1"/>
        <v/>
      </c>
      <c r="E343" s="25" t="str">
        <f t="shared" si="2"/>
        <v/>
      </c>
      <c r="F343" s="15"/>
      <c r="G343" s="16"/>
      <c r="H343" s="16" t="str">
        <f>IFERROR(VLOOKUP(G343,'Costo x Articulo'!$B:$C,2,0),"")</f>
        <v/>
      </c>
      <c r="I343" s="16"/>
      <c r="J343" s="14"/>
      <c r="K343" s="14">
        <f>IFERROR(VLOOKUP(G343,'Costo x Articulo'!$B:$E,4,0)*J343,0)</f>
        <v>0</v>
      </c>
      <c r="L343" s="14">
        <f>IFERROR(VLOOKUP(G343,'Costo x Articulo'!$B:$E,3,0)*J343,0)</f>
        <v>0</v>
      </c>
      <c r="M343" s="14">
        <f t="shared" si="12"/>
        <v>0</v>
      </c>
      <c r="N343" s="1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2.75" customHeight="1">
      <c r="A344" s="2"/>
      <c r="B344" s="14"/>
      <c r="C344" s="15"/>
      <c r="D344" s="25" t="str">
        <f t="shared" si="1"/>
        <v/>
      </c>
      <c r="E344" s="25" t="str">
        <f t="shared" si="2"/>
        <v/>
      </c>
      <c r="F344" s="15"/>
      <c r="G344" s="16"/>
      <c r="H344" s="16" t="str">
        <f>IFERROR(VLOOKUP(G344,'Costo x Articulo'!$B:$C,2,0),"")</f>
        <v/>
      </c>
      <c r="I344" s="16"/>
      <c r="J344" s="14"/>
      <c r="K344" s="14">
        <f>IFERROR(VLOOKUP(G344,'Costo x Articulo'!$B:$E,4,0)*J344,0)</f>
        <v>0</v>
      </c>
      <c r="L344" s="14">
        <f>IFERROR(VLOOKUP(G344,'Costo x Articulo'!$B:$E,3,0)*J344,0)</f>
        <v>0</v>
      </c>
      <c r="M344" s="14">
        <f t="shared" si="12"/>
        <v>0</v>
      </c>
      <c r="N344" s="1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2.75" customHeight="1">
      <c r="A345" s="2"/>
      <c r="B345" s="14"/>
      <c r="C345" s="15"/>
      <c r="D345" s="25" t="str">
        <f t="shared" si="1"/>
        <v/>
      </c>
      <c r="E345" s="25" t="str">
        <f t="shared" si="2"/>
        <v/>
      </c>
      <c r="F345" s="15"/>
      <c r="G345" s="16"/>
      <c r="H345" s="16" t="str">
        <f>IFERROR(VLOOKUP(G345,'Costo x Articulo'!$B:$C,2,0),"")</f>
        <v/>
      </c>
      <c r="I345" s="16"/>
      <c r="J345" s="14"/>
      <c r="K345" s="14">
        <f>IFERROR(VLOOKUP(G345,'Costo x Articulo'!$B:$E,4,0)*J345,0)</f>
        <v>0</v>
      </c>
      <c r="L345" s="14">
        <f>IFERROR(VLOOKUP(G345,'Costo x Articulo'!$B:$E,3,0)*J345,0)</f>
        <v>0</v>
      </c>
      <c r="M345" s="14">
        <f t="shared" si="12"/>
        <v>0</v>
      </c>
      <c r="N345" s="1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2.75" customHeight="1">
      <c r="A346" s="2"/>
      <c r="B346" s="14"/>
      <c r="C346" s="15"/>
      <c r="D346" s="25" t="str">
        <f t="shared" si="1"/>
        <v/>
      </c>
      <c r="E346" s="25" t="str">
        <f t="shared" si="2"/>
        <v/>
      </c>
      <c r="F346" s="15"/>
      <c r="G346" s="16"/>
      <c r="H346" s="16" t="str">
        <f>IFERROR(VLOOKUP(G346,'Costo x Articulo'!$B:$C,2,0),"")</f>
        <v/>
      </c>
      <c r="I346" s="16"/>
      <c r="J346" s="14"/>
      <c r="K346" s="14">
        <f>IFERROR(VLOOKUP(G346,'Costo x Articulo'!$B:$E,4,0)*J346,0)</f>
        <v>0</v>
      </c>
      <c r="L346" s="14">
        <f>IFERROR(VLOOKUP(G346,'Costo x Articulo'!$B:$E,3,0)*J346,0)</f>
        <v>0</v>
      </c>
      <c r="M346" s="14">
        <f t="shared" si="12"/>
        <v>0</v>
      </c>
      <c r="N346" s="1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2.75" customHeight="1">
      <c r="A347" s="2"/>
      <c r="B347" s="14"/>
      <c r="C347" s="15"/>
      <c r="D347" s="25" t="str">
        <f t="shared" si="1"/>
        <v/>
      </c>
      <c r="E347" s="25" t="str">
        <f t="shared" si="2"/>
        <v/>
      </c>
      <c r="F347" s="15"/>
      <c r="G347" s="16"/>
      <c r="H347" s="16" t="str">
        <f>IFERROR(VLOOKUP(G347,'Costo x Articulo'!$B:$C,2,0),"")</f>
        <v/>
      </c>
      <c r="I347" s="16"/>
      <c r="J347" s="14"/>
      <c r="K347" s="14">
        <f>IFERROR(VLOOKUP(G347,'Costo x Articulo'!$B:$E,4,0)*J347,0)</f>
        <v>0</v>
      </c>
      <c r="L347" s="14">
        <f>IFERROR(VLOOKUP(G347,'Costo x Articulo'!$B:$E,3,0)*J347,0)</f>
        <v>0</v>
      </c>
      <c r="M347" s="14">
        <f t="shared" si="12"/>
        <v>0</v>
      </c>
      <c r="N347" s="1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2.75" customHeight="1">
      <c r="A348" s="2"/>
      <c r="B348" s="14"/>
      <c r="C348" s="15"/>
      <c r="D348" s="25" t="str">
        <f t="shared" si="1"/>
        <v/>
      </c>
      <c r="E348" s="25" t="str">
        <f t="shared" si="2"/>
        <v/>
      </c>
      <c r="F348" s="15"/>
      <c r="G348" s="16"/>
      <c r="H348" s="16" t="str">
        <f>IFERROR(VLOOKUP(G348,'Costo x Articulo'!$B:$C,2,0),"")</f>
        <v/>
      </c>
      <c r="I348" s="16"/>
      <c r="J348" s="14"/>
      <c r="K348" s="14">
        <f>IFERROR(VLOOKUP(G348,'Costo x Articulo'!$B:$E,4,0)*J348,0)</f>
        <v>0</v>
      </c>
      <c r="L348" s="14">
        <f>IFERROR(VLOOKUP(G348,'Costo x Articulo'!$B:$E,3,0)*J348,0)</f>
        <v>0</v>
      </c>
      <c r="M348" s="14">
        <f t="shared" si="12"/>
        <v>0</v>
      </c>
      <c r="N348" s="1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2.75" customHeight="1">
      <c r="A349" s="2"/>
      <c r="B349" s="14"/>
      <c r="C349" s="15"/>
      <c r="D349" s="25" t="str">
        <f t="shared" si="1"/>
        <v/>
      </c>
      <c r="E349" s="25" t="str">
        <f t="shared" si="2"/>
        <v/>
      </c>
      <c r="F349" s="15"/>
      <c r="G349" s="16"/>
      <c r="H349" s="16" t="str">
        <f>IFERROR(VLOOKUP(G349,'Costo x Articulo'!$B:$C,2,0),"")</f>
        <v/>
      </c>
      <c r="I349" s="16"/>
      <c r="J349" s="14"/>
      <c r="K349" s="14">
        <f>IFERROR(VLOOKUP(G349,'Costo x Articulo'!$B:$E,4,0)*J349,0)</f>
        <v>0</v>
      </c>
      <c r="L349" s="14">
        <f>IFERROR(VLOOKUP(G349,'Costo x Articulo'!$B:$E,3,0)*J349,0)</f>
        <v>0</v>
      </c>
      <c r="M349" s="14">
        <f t="shared" si="12"/>
        <v>0</v>
      </c>
      <c r="N349" s="1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2.75" customHeight="1">
      <c r="A350" s="2"/>
      <c r="B350" s="14"/>
      <c r="C350" s="15"/>
      <c r="D350" s="25" t="str">
        <f t="shared" si="1"/>
        <v/>
      </c>
      <c r="E350" s="25" t="str">
        <f t="shared" si="2"/>
        <v/>
      </c>
      <c r="F350" s="15"/>
      <c r="G350" s="16"/>
      <c r="H350" s="16" t="str">
        <f>IFERROR(VLOOKUP(G350,'Costo x Articulo'!$B:$C,2,0),"")</f>
        <v/>
      </c>
      <c r="I350" s="16"/>
      <c r="J350" s="14"/>
      <c r="K350" s="14">
        <f>IFERROR(VLOOKUP(G350,'Costo x Articulo'!$B:$E,4,0)*J350,0)</f>
        <v>0</v>
      </c>
      <c r="L350" s="14">
        <f>IFERROR(VLOOKUP(G350,'Costo x Articulo'!$B:$E,3,0)*J350,0)</f>
        <v>0</v>
      </c>
      <c r="M350" s="14">
        <f t="shared" si="12"/>
        <v>0</v>
      </c>
      <c r="N350" s="1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2.75" customHeight="1">
      <c r="A351" s="2"/>
      <c r="B351" s="14"/>
      <c r="C351" s="15"/>
      <c r="D351" s="25" t="str">
        <f t="shared" si="1"/>
        <v/>
      </c>
      <c r="E351" s="25" t="str">
        <f t="shared" si="2"/>
        <v/>
      </c>
      <c r="F351" s="15"/>
      <c r="G351" s="16"/>
      <c r="H351" s="16" t="str">
        <f>IFERROR(VLOOKUP(G351,'Costo x Articulo'!$B:$C,2,0),"")</f>
        <v/>
      </c>
      <c r="I351" s="16"/>
      <c r="J351" s="14"/>
      <c r="K351" s="14">
        <f>IFERROR(VLOOKUP(G351,'Costo x Articulo'!$B:$E,4,0)*J351,0)</f>
        <v>0</v>
      </c>
      <c r="L351" s="14">
        <f>IFERROR(VLOOKUP(G351,'Costo x Articulo'!$B:$E,3,0)*J351,0)</f>
        <v>0</v>
      </c>
      <c r="M351" s="14">
        <f t="shared" si="12"/>
        <v>0</v>
      </c>
      <c r="N351" s="1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2.75" customHeight="1">
      <c r="A352" s="2"/>
      <c r="B352" s="14"/>
      <c r="C352" s="15"/>
      <c r="D352" s="25" t="str">
        <f t="shared" si="1"/>
        <v/>
      </c>
      <c r="E352" s="25" t="str">
        <f t="shared" si="2"/>
        <v/>
      </c>
      <c r="F352" s="15"/>
      <c r="G352" s="16"/>
      <c r="H352" s="16" t="str">
        <f>IFERROR(VLOOKUP(G352,'Costo x Articulo'!$B:$C,2,0),"")</f>
        <v/>
      </c>
      <c r="I352" s="16"/>
      <c r="J352" s="14"/>
      <c r="K352" s="14">
        <f>IFERROR(VLOOKUP(G352,'Costo x Articulo'!$B:$E,4,0)*J352,0)</f>
        <v>0</v>
      </c>
      <c r="L352" s="14">
        <f>IFERROR(VLOOKUP(G352,'Costo x Articulo'!$B:$E,3,0)*J352,0)</f>
        <v>0</v>
      </c>
      <c r="M352" s="14">
        <f t="shared" si="12"/>
        <v>0</v>
      </c>
      <c r="N352" s="1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2.75" customHeight="1">
      <c r="A353" s="2"/>
      <c r="B353" s="14"/>
      <c r="C353" s="15"/>
      <c r="D353" s="25" t="str">
        <f t="shared" si="1"/>
        <v/>
      </c>
      <c r="E353" s="25" t="str">
        <f t="shared" si="2"/>
        <v/>
      </c>
      <c r="F353" s="15"/>
      <c r="G353" s="16"/>
      <c r="H353" s="16" t="str">
        <f>IFERROR(VLOOKUP(G353,'Costo x Articulo'!$B:$C,2,0),"")</f>
        <v/>
      </c>
      <c r="I353" s="16"/>
      <c r="J353" s="14"/>
      <c r="K353" s="14">
        <f>IFERROR(VLOOKUP(G353,'Costo x Articulo'!$B:$E,4,0)*J353,0)</f>
        <v>0</v>
      </c>
      <c r="L353" s="14">
        <f>IFERROR(VLOOKUP(G353,'Costo x Articulo'!$B:$E,3,0)*J353,0)</f>
        <v>0</v>
      </c>
      <c r="M353" s="14">
        <f t="shared" si="12"/>
        <v>0</v>
      </c>
      <c r="N353" s="1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2.75" customHeight="1">
      <c r="A354" s="2"/>
      <c r="B354" s="14"/>
      <c r="C354" s="15"/>
      <c r="D354" s="25" t="str">
        <f t="shared" si="1"/>
        <v/>
      </c>
      <c r="E354" s="25" t="str">
        <f t="shared" si="2"/>
        <v/>
      </c>
      <c r="F354" s="15"/>
      <c r="G354" s="16"/>
      <c r="H354" s="16" t="str">
        <f>IFERROR(VLOOKUP(G354,'Costo x Articulo'!$B:$C,2,0),"")</f>
        <v/>
      </c>
      <c r="I354" s="16"/>
      <c r="J354" s="14"/>
      <c r="K354" s="14">
        <f>IFERROR(VLOOKUP(G354,'Costo x Articulo'!$B:$E,4,0)*J354,0)</f>
        <v>0</v>
      </c>
      <c r="L354" s="14">
        <f>IFERROR(VLOOKUP(G354,'Costo x Articulo'!$B:$E,3,0)*J354,0)</f>
        <v>0</v>
      </c>
      <c r="M354" s="14">
        <f t="shared" si="12"/>
        <v>0</v>
      </c>
      <c r="N354" s="1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2.75" customHeight="1">
      <c r="A355" s="2"/>
      <c r="B355" s="14"/>
      <c r="C355" s="15"/>
      <c r="D355" s="25" t="str">
        <f t="shared" si="1"/>
        <v/>
      </c>
      <c r="E355" s="25" t="str">
        <f t="shared" si="2"/>
        <v/>
      </c>
      <c r="F355" s="15"/>
      <c r="G355" s="16"/>
      <c r="H355" s="16" t="str">
        <f>IFERROR(VLOOKUP(G355,'Costo x Articulo'!$B:$C,2,0),"")</f>
        <v/>
      </c>
      <c r="I355" s="16"/>
      <c r="J355" s="14"/>
      <c r="K355" s="14">
        <f>IFERROR(VLOOKUP(G355,'Costo x Articulo'!$B:$E,4,0)*J355,0)</f>
        <v>0</v>
      </c>
      <c r="L355" s="14">
        <f>IFERROR(VLOOKUP(G355,'Costo x Articulo'!$B:$E,3,0)*J355,0)</f>
        <v>0</v>
      </c>
      <c r="M355" s="14">
        <f t="shared" si="12"/>
        <v>0</v>
      </c>
      <c r="N355" s="1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2.75" customHeight="1">
      <c r="A356" s="2"/>
      <c r="B356" s="14"/>
      <c r="C356" s="15"/>
      <c r="D356" s="25" t="str">
        <f t="shared" si="1"/>
        <v/>
      </c>
      <c r="E356" s="25" t="str">
        <f t="shared" si="2"/>
        <v/>
      </c>
      <c r="F356" s="15"/>
      <c r="G356" s="16"/>
      <c r="H356" s="16" t="str">
        <f>IFERROR(VLOOKUP(G356,'Costo x Articulo'!$B:$C,2,0),"")</f>
        <v/>
      </c>
      <c r="I356" s="16"/>
      <c r="J356" s="14"/>
      <c r="K356" s="14">
        <f>IFERROR(VLOOKUP(G356,'Costo x Articulo'!$B:$E,4,0)*J356,0)</f>
        <v>0</v>
      </c>
      <c r="L356" s="14">
        <f>IFERROR(VLOOKUP(G356,'Costo x Articulo'!$B:$E,3,0)*J356,0)</f>
        <v>0</v>
      </c>
      <c r="M356" s="14">
        <f t="shared" si="12"/>
        <v>0</v>
      </c>
      <c r="N356" s="1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2.75" customHeight="1">
      <c r="A357" s="2"/>
      <c r="B357" s="14"/>
      <c r="C357" s="15"/>
      <c r="D357" s="25" t="str">
        <f t="shared" si="1"/>
        <v/>
      </c>
      <c r="E357" s="25" t="str">
        <f t="shared" si="2"/>
        <v/>
      </c>
      <c r="F357" s="15"/>
      <c r="G357" s="16"/>
      <c r="H357" s="16" t="str">
        <f>IFERROR(VLOOKUP(G357,'Costo x Articulo'!$B:$C,2,0),"")</f>
        <v/>
      </c>
      <c r="I357" s="16"/>
      <c r="J357" s="14"/>
      <c r="K357" s="14">
        <f>IFERROR(VLOOKUP(G357,'Costo x Articulo'!$B:$E,4,0)*J357,0)</f>
        <v>0</v>
      </c>
      <c r="L357" s="14">
        <f>IFERROR(VLOOKUP(G357,'Costo x Articulo'!$B:$E,3,0)*J357,0)</f>
        <v>0</v>
      </c>
      <c r="M357" s="14">
        <f t="shared" si="12"/>
        <v>0</v>
      </c>
      <c r="N357" s="1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2.75" customHeight="1">
      <c r="A358" s="2"/>
      <c r="B358" s="14"/>
      <c r="C358" s="15"/>
      <c r="D358" s="25" t="str">
        <f t="shared" si="1"/>
        <v/>
      </c>
      <c r="E358" s="25" t="str">
        <f t="shared" si="2"/>
        <v/>
      </c>
      <c r="F358" s="15"/>
      <c r="G358" s="16"/>
      <c r="H358" s="16" t="str">
        <f>IFERROR(VLOOKUP(G358,'Costo x Articulo'!$B:$C,2,0),"")</f>
        <v/>
      </c>
      <c r="I358" s="16"/>
      <c r="J358" s="14"/>
      <c r="K358" s="14">
        <f>IFERROR(VLOOKUP(G358,'Costo x Articulo'!$B:$E,4,0)*J358,0)</f>
        <v>0</v>
      </c>
      <c r="L358" s="14">
        <f>IFERROR(VLOOKUP(G358,'Costo x Articulo'!$B:$E,3,0)*J358,0)</f>
        <v>0</v>
      </c>
      <c r="M358" s="14">
        <f t="shared" si="12"/>
        <v>0</v>
      </c>
      <c r="N358" s="1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2.75" customHeight="1">
      <c r="A359" s="2"/>
      <c r="B359" s="14"/>
      <c r="C359" s="15"/>
      <c r="D359" s="25" t="str">
        <f t="shared" si="1"/>
        <v/>
      </c>
      <c r="E359" s="25" t="str">
        <f t="shared" si="2"/>
        <v/>
      </c>
      <c r="F359" s="15"/>
      <c r="G359" s="16"/>
      <c r="H359" s="16" t="str">
        <f>IFERROR(VLOOKUP(G359,'Costo x Articulo'!$B:$C,2,0),"")</f>
        <v/>
      </c>
      <c r="I359" s="16"/>
      <c r="J359" s="14"/>
      <c r="K359" s="14">
        <f>IFERROR(VLOOKUP(G359,'Costo x Articulo'!$B:$E,4,0)*J359,0)</f>
        <v>0</v>
      </c>
      <c r="L359" s="14">
        <f>IFERROR(VLOOKUP(G359,'Costo x Articulo'!$B:$E,3,0)*J359,0)</f>
        <v>0</v>
      </c>
      <c r="M359" s="14">
        <f t="shared" si="12"/>
        <v>0</v>
      </c>
      <c r="N359" s="1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2.75" customHeight="1">
      <c r="A360" s="2"/>
      <c r="B360" s="14"/>
      <c r="C360" s="15"/>
      <c r="D360" s="25" t="str">
        <f t="shared" si="1"/>
        <v/>
      </c>
      <c r="E360" s="25" t="str">
        <f t="shared" si="2"/>
        <v/>
      </c>
      <c r="F360" s="15"/>
      <c r="G360" s="16"/>
      <c r="H360" s="16" t="str">
        <f>IFERROR(VLOOKUP(G360,'Costo x Articulo'!$B:$C,2,0),"")</f>
        <v/>
      </c>
      <c r="I360" s="16"/>
      <c r="J360" s="14"/>
      <c r="K360" s="14">
        <f>IFERROR(VLOOKUP(G360,'Costo x Articulo'!$B:$E,4,0)*J360,0)</f>
        <v>0</v>
      </c>
      <c r="L360" s="14">
        <f>IFERROR(VLOOKUP(G360,'Costo x Articulo'!$B:$E,3,0)*J360,0)</f>
        <v>0</v>
      </c>
      <c r="M360" s="14">
        <f t="shared" si="12"/>
        <v>0</v>
      </c>
      <c r="N360" s="1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2.75" customHeight="1">
      <c r="A361" s="2"/>
      <c r="B361" s="14"/>
      <c r="C361" s="15"/>
      <c r="D361" s="25" t="str">
        <f t="shared" si="1"/>
        <v/>
      </c>
      <c r="E361" s="25" t="str">
        <f t="shared" si="2"/>
        <v/>
      </c>
      <c r="F361" s="15"/>
      <c r="G361" s="16"/>
      <c r="H361" s="16" t="str">
        <f>IFERROR(VLOOKUP(G361,'Costo x Articulo'!$B:$C,2,0),"")</f>
        <v/>
      </c>
      <c r="I361" s="16"/>
      <c r="J361" s="14"/>
      <c r="K361" s="14">
        <f>IFERROR(VLOOKUP(G361,'Costo x Articulo'!$B:$E,4,0)*J361,0)</f>
        <v>0</v>
      </c>
      <c r="L361" s="14">
        <f>IFERROR(VLOOKUP(G361,'Costo x Articulo'!$B:$E,3,0)*J361,0)</f>
        <v>0</v>
      </c>
      <c r="M361" s="14">
        <f t="shared" si="12"/>
        <v>0</v>
      </c>
      <c r="N361" s="1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2.75" customHeight="1">
      <c r="A362" s="2"/>
      <c r="B362" s="14"/>
      <c r="C362" s="15"/>
      <c r="D362" s="25" t="str">
        <f t="shared" si="1"/>
        <v/>
      </c>
      <c r="E362" s="25" t="str">
        <f t="shared" si="2"/>
        <v/>
      </c>
      <c r="F362" s="15"/>
      <c r="G362" s="16"/>
      <c r="H362" s="16" t="str">
        <f>IFERROR(VLOOKUP(G362,'Costo x Articulo'!$B:$C,2,0),"")</f>
        <v/>
      </c>
      <c r="I362" s="16"/>
      <c r="J362" s="14"/>
      <c r="K362" s="14">
        <f>IFERROR(VLOOKUP(G362,'Costo x Articulo'!$B:$E,4,0)*J362,0)</f>
        <v>0</v>
      </c>
      <c r="L362" s="14">
        <f>IFERROR(VLOOKUP(G362,'Costo x Articulo'!$B:$E,3,0)*J362,0)</f>
        <v>0</v>
      </c>
      <c r="M362" s="14">
        <f t="shared" si="12"/>
        <v>0</v>
      </c>
      <c r="N362" s="1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2.75" customHeight="1">
      <c r="A363" s="2"/>
      <c r="B363" s="14"/>
      <c r="C363" s="15"/>
      <c r="D363" s="25" t="str">
        <f t="shared" si="1"/>
        <v/>
      </c>
      <c r="E363" s="25" t="str">
        <f t="shared" si="2"/>
        <v/>
      </c>
      <c r="F363" s="15"/>
      <c r="G363" s="16"/>
      <c r="H363" s="16" t="str">
        <f>IFERROR(VLOOKUP(G363,'Costo x Articulo'!$B:$C,2,0),"")</f>
        <v/>
      </c>
      <c r="I363" s="16"/>
      <c r="J363" s="14"/>
      <c r="K363" s="14">
        <f>IFERROR(VLOOKUP(G363,'Costo x Articulo'!$B:$E,4,0)*J363,0)</f>
        <v>0</v>
      </c>
      <c r="L363" s="14">
        <f>IFERROR(VLOOKUP(G363,'Costo x Articulo'!$B:$E,3,0)*J363,0)</f>
        <v>0</v>
      </c>
      <c r="M363" s="14">
        <f t="shared" si="12"/>
        <v>0</v>
      </c>
      <c r="N363" s="1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2.75" customHeight="1">
      <c r="A364" s="2"/>
      <c r="B364" s="14"/>
      <c r="C364" s="15"/>
      <c r="D364" s="25" t="str">
        <f t="shared" si="1"/>
        <v/>
      </c>
      <c r="E364" s="25" t="str">
        <f t="shared" si="2"/>
        <v/>
      </c>
      <c r="F364" s="15"/>
      <c r="G364" s="16"/>
      <c r="H364" s="16" t="str">
        <f>IFERROR(VLOOKUP(G364,'Costo x Articulo'!$B:$C,2,0),"")</f>
        <v/>
      </c>
      <c r="I364" s="16"/>
      <c r="J364" s="14"/>
      <c r="K364" s="14">
        <f>IFERROR(VLOOKUP(G364,'Costo x Articulo'!$B:$E,4,0)*J364,0)</f>
        <v>0</v>
      </c>
      <c r="L364" s="14">
        <f>IFERROR(VLOOKUP(G364,'Costo x Articulo'!$B:$E,3,0)*J364,0)</f>
        <v>0</v>
      </c>
      <c r="M364" s="14">
        <f t="shared" si="12"/>
        <v>0</v>
      </c>
      <c r="N364" s="1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2.75" customHeight="1">
      <c r="A365" s="2"/>
      <c r="B365" s="14"/>
      <c r="C365" s="15"/>
      <c r="D365" s="25" t="str">
        <f t="shared" si="1"/>
        <v/>
      </c>
      <c r="E365" s="25" t="str">
        <f t="shared" si="2"/>
        <v/>
      </c>
      <c r="F365" s="15"/>
      <c r="G365" s="16"/>
      <c r="H365" s="16" t="str">
        <f>IFERROR(VLOOKUP(G365,'Costo x Articulo'!$B:$C,2,0),"")</f>
        <v/>
      </c>
      <c r="I365" s="16"/>
      <c r="J365" s="14"/>
      <c r="K365" s="14">
        <f>IFERROR(VLOOKUP(G365,'Costo x Articulo'!$B:$E,4,0)*J365,0)</f>
        <v>0</v>
      </c>
      <c r="L365" s="14">
        <f>IFERROR(VLOOKUP(G365,'Costo x Articulo'!$B:$E,3,0)*J365,0)</f>
        <v>0</v>
      </c>
      <c r="M365" s="14">
        <f t="shared" si="12"/>
        <v>0</v>
      </c>
      <c r="N365" s="1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2.75" customHeight="1">
      <c r="A366" s="2"/>
      <c r="B366" s="14"/>
      <c r="C366" s="15"/>
      <c r="D366" s="25" t="str">
        <f t="shared" si="1"/>
        <v/>
      </c>
      <c r="E366" s="25" t="str">
        <f t="shared" si="2"/>
        <v/>
      </c>
      <c r="F366" s="15"/>
      <c r="G366" s="16"/>
      <c r="H366" s="16" t="str">
        <f>IFERROR(VLOOKUP(G366,'Costo x Articulo'!$B:$C,2,0),"")</f>
        <v/>
      </c>
      <c r="I366" s="16"/>
      <c r="J366" s="14"/>
      <c r="K366" s="14">
        <f>IFERROR(VLOOKUP(G366,'Costo x Articulo'!$B:$E,4,0)*J366,0)</f>
        <v>0</v>
      </c>
      <c r="L366" s="14">
        <f>IFERROR(VLOOKUP(G366,'Costo x Articulo'!$B:$E,3,0)*J366,0)</f>
        <v>0</v>
      </c>
      <c r="M366" s="14">
        <f t="shared" si="12"/>
        <v>0</v>
      </c>
      <c r="N366" s="1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2.75" customHeight="1">
      <c r="A367" s="2"/>
      <c r="B367" s="14"/>
      <c r="C367" s="15"/>
      <c r="D367" s="25" t="str">
        <f t="shared" si="1"/>
        <v/>
      </c>
      <c r="E367" s="25" t="str">
        <f t="shared" si="2"/>
        <v/>
      </c>
      <c r="F367" s="15"/>
      <c r="G367" s="16"/>
      <c r="H367" s="16" t="str">
        <f>IFERROR(VLOOKUP(G367,'Costo x Articulo'!$B:$C,2,0),"")</f>
        <v/>
      </c>
      <c r="I367" s="16"/>
      <c r="J367" s="14"/>
      <c r="K367" s="14">
        <f>IFERROR(VLOOKUP(G367,'Costo x Articulo'!$B:$E,4,0)*J367,0)</f>
        <v>0</v>
      </c>
      <c r="L367" s="14">
        <f>IFERROR(VLOOKUP(G367,'Costo x Articulo'!$B:$E,3,0)*J367,0)</f>
        <v>0</v>
      </c>
      <c r="M367" s="14">
        <f t="shared" si="12"/>
        <v>0</v>
      </c>
      <c r="N367" s="1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2.75" customHeight="1">
      <c r="A368" s="2"/>
      <c r="B368" s="14"/>
      <c r="C368" s="15"/>
      <c r="D368" s="25" t="str">
        <f t="shared" si="1"/>
        <v/>
      </c>
      <c r="E368" s="25" t="str">
        <f t="shared" si="2"/>
        <v/>
      </c>
      <c r="F368" s="15"/>
      <c r="G368" s="16"/>
      <c r="H368" s="16" t="str">
        <f>IFERROR(VLOOKUP(G368,'Costo x Articulo'!$B:$C,2,0),"")</f>
        <v/>
      </c>
      <c r="I368" s="16"/>
      <c r="J368" s="14"/>
      <c r="K368" s="14">
        <f>IFERROR(VLOOKUP(G368,'Costo x Articulo'!$B:$E,4,0)*J368,0)</f>
        <v>0</v>
      </c>
      <c r="L368" s="14">
        <f>IFERROR(VLOOKUP(G368,'Costo x Articulo'!$B:$E,3,0)*J368,0)</f>
        <v>0</v>
      </c>
      <c r="M368" s="14">
        <f t="shared" si="12"/>
        <v>0</v>
      </c>
      <c r="N368" s="1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2.75" customHeight="1">
      <c r="A369" s="2"/>
      <c r="B369" s="14"/>
      <c r="C369" s="15"/>
      <c r="D369" s="25" t="str">
        <f t="shared" si="1"/>
        <v/>
      </c>
      <c r="E369" s="25" t="str">
        <f t="shared" si="2"/>
        <v/>
      </c>
      <c r="F369" s="15"/>
      <c r="G369" s="16"/>
      <c r="H369" s="16" t="str">
        <f>IFERROR(VLOOKUP(G369,'Costo x Articulo'!$B:$C,2,0),"")</f>
        <v/>
      </c>
      <c r="I369" s="16"/>
      <c r="J369" s="14"/>
      <c r="K369" s="14">
        <f>IFERROR(VLOOKUP(G369,'Costo x Articulo'!$B:$E,4,0)*J369,0)</f>
        <v>0</v>
      </c>
      <c r="L369" s="14">
        <f>IFERROR(VLOOKUP(G369,'Costo x Articulo'!$B:$E,3,0)*J369,0)</f>
        <v>0</v>
      </c>
      <c r="M369" s="14">
        <f t="shared" si="12"/>
        <v>0</v>
      </c>
      <c r="N369" s="1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2.75" customHeight="1">
      <c r="A370" s="2"/>
      <c r="B370" s="14"/>
      <c r="C370" s="15"/>
      <c r="D370" s="25" t="str">
        <f t="shared" si="1"/>
        <v/>
      </c>
      <c r="E370" s="25" t="str">
        <f t="shared" si="2"/>
        <v/>
      </c>
      <c r="F370" s="15"/>
      <c r="G370" s="16"/>
      <c r="H370" s="16" t="str">
        <f>IFERROR(VLOOKUP(G370,'Costo x Articulo'!$B:$C,2,0),"")</f>
        <v/>
      </c>
      <c r="I370" s="16"/>
      <c r="J370" s="14"/>
      <c r="K370" s="14">
        <f>IFERROR(VLOOKUP(G370,'Costo x Articulo'!$B:$E,4,0)*J370,0)</f>
        <v>0</v>
      </c>
      <c r="L370" s="14">
        <f>IFERROR(VLOOKUP(G370,'Costo x Articulo'!$B:$E,3,0)*J370,0)</f>
        <v>0</v>
      </c>
      <c r="M370" s="14">
        <f t="shared" si="12"/>
        <v>0</v>
      </c>
      <c r="N370" s="1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2.75" customHeight="1">
      <c r="A371" s="2"/>
      <c r="B371" s="14"/>
      <c r="C371" s="15"/>
      <c r="D371" s="25" t="str">
        <f t="shared" si="1"/>
        <v/>
      </c>
      <c r="E371" s="25" t="str">
        <f t="shared" si="2"/>
        <v/>
      </c>
      <c r="F371" s="15"/>
      <c r="G371" s="16"/>
      <c r="H371" s="16" t="str">
        <f>IFERROR(VLOOKUP(G371,'Costo x Articulo'!$B:$C,2,0),"")</f>
        <v/>
      </c>
      <c r="I371" s="16"/>
      <c r="J371" s="14"/>
      <c r="K371" s="14">
        <f>IFERROR(VLOOKUP(G371,'Costo x Articulo'!$B:$E,4,0)*J371,0)</f>
        <v>0</v>
      </c>
      <c r="L371" s="14">
        <f>IFERROR(VLOOKUP(G371,'Costo x Articulo'!$B:$E,3,0)*J371,0)</f>
        <v>0</v>
      </c>
      <c r="M371" s="14">
        <f t="shared" si="12"/>
        <v>0</v>
      </c>
      <c r="N371" s="1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2.75" customHeight="1">
      <c r="A372" s="2"/>
      <c r="B372" s="14"/>
      <c r="C372" s="15"/>
      <c r="D372" s="25" t="str">
        <f t="shared" si="1"/>
        <v/>
      </c>
      <c r="E372" s="25" t="str">
        <f t="shared" si="2"/>
        <v/>
      </c>
      <c r="F372" s="15"/>
      <c r="G372" s="16"/>
      <c r="H372" s="16" t="str">
        <f>IFERROR(VLOOKUP(G372,'Costo x Articulo'!$B:$C,2,0),"")</f>
        <v/>
      </c>
      <c r="I372" s="16"/>
      <c r="J372" s="14"/>
      <c r="K372" s="14">
        <f>IFERROR(VLOOKUP(G372,'Costo x Articulo'!$B:$E,4,0)*J372,0)</f>
        <v>0</v>
      </c>
      <c r="L372" s="14">
        <f>IFERROR(VLOOKUP(G372,'Costo x Articulo'!$B:$E,3,0)*J372,0)</f>
        <v>0</v>
      </c>
      <c r="M372" s="14">
        <f t="shared" si="12"/>
        <v>0</v>
      </c>
      <c r="N372" s="1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2.75" customHeight="1">
      <c r="A373" s="2"/>
      <c r="B373" s="14"/>
      <c r="C373" s="15"/>
      <c r="D373" s="25" t="str">
        <f t="shared" si="1"/>
        <v/>
      </c>
      <c r="E373" s="25" t="str">
        <f t="shared" si="2"/>
        <v/>
      </c>
      <c r="F373" s="15"/>
      <c r="G373" s="16"/>
      <c r="H373" s="16" t="str">
        <f>IFERROR(VLOOKUP(G373,'Costo x Articulo'!$B:$C,2,0),"")</f>
        <v/>
      </c>
      <c r="I373" s="16"/>
      <c r="J373" s="14"/>
      <c r="K373" s="14">
        <f>IFERROR(VLOOKUP(G373,'Costo x Articulo'!$B:$E,4,0)*J373,0)</f>
        <v>0</v>
      </c>
      <c r="L373" s="14">
        <f>IFERROR(VLOOKUP(G373,'Costo x Articulo'!$B:$E,3,0)*J373,0)</f>
        <v>0</v>
      </c>
      <c r="M373" s="14">
        <f t="shared" si="12"/>
        <v>0</v>
      </c>
      <c r="N373" s="1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2.75" customHeight="1">
      <c r="A374" s="2"/>
      <c r="B374" s="14"/>
      <c r="C374" s="15"/>
      <c r="D374" s="25" t="str">
        <f t="shared" si="1"/>
        <v/>
      </c>
      <c r="E374" s="25" t="str">
        <f t="shared" si="2"/>
        <v/>
      </c>
      <c r="F374" s="15"/>
      <c r="G374" s="16"/>
      <c r="H374" s="16" t="str">
        <f>IFERROR(VLOOKUP(G374,'Costo x Articulo'!$B:$C,2,0),"")</f>
        <v/>
      </c>
      <c r="I374" s="16"/>
      <c r="J374" s="14"/>
      <c r="K374" s="14">
        <f>IFERROR(VLOOKUP(G374,'Costo x Articulo'!$B:$E,4,0)*J374,0)</f>
        <v>0</v>
      </c>
      <c r="L374" s="14">
        <f>IFERROR(VLOOKUP(G374,'Costo x Articulo'!$B:$E,3,0)*J374,0)</f>
        <v>0</v>
      </c>
      <c r="M374" s="14">
        <f t="shared" si="12"/>
        <v>0</v>
      </c>
      <c r="N374" s="1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2.75" customHeight="1">
      <c r="A375" s="2"/>
      <c r="B375" s="14"/>
      <c r="C375" s="15"/>
      <c r="D375" s="25" t="str">
        <f t="shared" si="1"/>
        <v/>
      </c>
      <c r="E375" s="25" t="str">
        <f t="shared" si="2"/>
        <v/>
      </c>
      <c r="F375" s="15"/>
      <c r="G375" s="16"/>
      <c r="H375" s="16" t="str">
        <f>IFERROR(VLOOKUP(G375,'Costo x Articulo'!$B:$C,2,0),"")</f>
        <v/>
      </c>
      <c r="I375" s="16"/>
      <c r="J375" s="14"/>
      <c r="K375" s="14">
        <f>IFERROR(VLOOKUP(G375,'Costo x Articulo'!$B:$E,4,0)*J375,0)</f>
        <v>0</v>
      </c>
      <c r="L375" s="14">
        <f>IFERROR(VLOOKUP(G375,'Costo x Articulo'!$B:$E,3,0)*J375,0)</f>
        <v>0</v>
      </c>
      <c r="M375" s="14">
        <f t="shared" si="12"/>
        <v>0</v>
      </c>
      <c r="N375" s="1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2.75" customHeight="1">
      <c r="A376" s="2"/>
      <c r="B376" s="14"/>
      <c r="C376" s="15"/>
      <c r="D376" s="25" t="str">
        <f t="shared" si="1"/>
        <v/>
      </c>
      <c r="E376" s="25" t="str">
        <f t="shared" si="2"/>
        <v/>
      </c>
      <c r="F376" s="15"/>
      <c r="G376" s="16"/>
      <c r="H376" s="16" t="str">
        <f>IFERROR(VLOOKUP(G376,'Costo x Articulo'!$B:$C,2,0),"")</f>
        <v/>
      </c>
      <c r="I376" s="16"/>
      <c r="J376" s="14"/>
      <c r="K376" s="14">
        <f>IFERROR(VLOOKUP(G376,'Costo x Articulo'!$B:$E,4,0)*J376,0)</f>
        <v>0</v>
      </c>
      <c r="L376" s="14">
        <f>IFERROR(VLOOKUP(G376,'Costo x Articulo'!$B:$E,3,0)*J376,0)</f>
        <v>0</v>
      </c>
      <c r="M376" s="14">
        <f t="shared" si="12"/>
        <v>0</v>
      </c>
      <c r="N376" s="1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2.75" customHeight="1">
      <c r="A377" s="2"/>
      <c r="B377" s="14"/>
      <c r="C377" s="15"/>
      <c r="D377" s="25" t="str">
        <f t="shared" si="1"/>
        <v/>
      </c>
      <c r="E377" s="25" t="str">
        <f t="shared" si="2"/>
        <v/>
      </c>
      <c r="F377" s="15"/>
      <c r="G377" s="16"/>
      <c r="H377" s="16" t="str">
        <f>IFERROR(VLOOKUP(G377,'Costo x Articulo'!$B:$C,2,0),"")</f>
        <v/>
      </c>
      <c r="I377" s="16"/>
      <c r="J377" s="14"/>
      <c r="K377" s="14">
        <f>IFERROR(VLOOKUP(G377,'Costo x Articulo'!$B:$E,4,0)*J377,0)</f>
        <v>0</v>
      </c>
      <c r="L377" s="14">
        <f>IFERROR(VLOOKUP(G377,'Costo x Articulo'!$B:$E,3,0)*J377,0)</f>
        <v>0</v>
      </c>
      <c r="M377" s="14">
        <f t="shared" si="12"/>
        <v>0</v>
      </c>
      <c r="N377" s="1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2.75" customHeight="1">
      <c r="A378" s="2"/>
      <c r="B378" s="14"/>
      <c r="C378" s="15"/>
      <c r="D378" s="25" t="str">
        <f t="shared" si="1"/>
        <v/>
      </c>
      <c r="E378" s="25" t="str">
        <f t="shared" si="2"/>
        <v/>
      </c>
      <c r="F378" s="15"/>
      <c r="G378" s="16"/>
      <c r="H378" s="16" t="str">
        <f>IFERROR(VLOOKUP(G378,'Costo x Articulo'!$B:$C,2,0),"")</f>
        <v/>
      </c>
      <c r="I378" s="16"/>
      <c r="J378" s="14"/>
      <c r="K378" s="14">
        <f>IFERROR(VLOOKUP(G378,'Costo x Articulo'!$B:$E,4,0)*J378,0)</f>
        <v>0</v>
      </c>
      <c r="L378" s="14">
        <f>IFERROR(VLOOKUP(G378,'Costo x Articulo'!$B:$E,3,0)*J378,0)</f>
        <v>0</v>
      </c>
      <c r="M378" s="14">
        <f t="shared" si="12"/>
        <v>0</v>
      </c>
      <c r="N378" s="1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2.75" customHeight="1">
      <c r="A379" s="2"/>
      <c r="B379" s="14"/>
      <c r="C379" s="15"/>
      <c r="D379" s="25" t="str">
        <f t="shared" si="1"/>
        <v/>
      </c>
      <c r="E379" s="25" t="str">
        <f t="shared" si="2"/>
        <v/>
      </c>
      <c r="F379" s="15"/>
      <c r="G379" s="16"/>
      <c r="H379" s="16" t="str">
        <f>IFERROR(VLOOKUP(G379,'Costo x Articulo'!$B:$C,2,0),"")</f>
        <v/>
      </c>
      <c r="I379" s="16"/>
      <c r="J379" s="14"/>
      <c r="K379" s="14">
        <f>IFERROR(VLOOKUP(G379,'Costo x Articulo'!$B:$E,4,0)*J379,0)</f>
        <v>0</v>
      </c>
      <c r="L379" s="14">
        <f>IFERROR(VLOOKUP(G379,'Costo x Articulo'!$B:$E,3,0)*J379,0)</f>
        <v>0</v>
      </c>
      <c r="M379" s="14">
        <f t="shared" si="12"/>
        <v>0</v>
      </c>
      <c r="N379" s="1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2.75" customHeight="1">
      <c r="A380" s="2"/>
      <c r="B380" s="14"/>
      <c r="C380" s="15"/>
      <c r="D380" s="25" t="str">
        <f t="shared" si="1"/>
        <v/>
      </c>
      <c r="E380" s="25" t="str">
        <f t="shared" si="2"/>
        <v/>
      </c>
      <c r="F380" s="15"/>
      <c r="G380" s="16"/>
      <c r="H380" s="16" t="str">
        <f>IFERROR(VLOOKUP(G380,'Costo x Articulo'!$B:$C,2,0),"")</f>
        <v/>
      </c>
      <c r="I380" s="16"/>
      <c r="J380" s="14"/>
      <c r="K380" s="14">
        <f>IFERROR(VLOOKUP(G380,'Costo x Articulo'!$B:$E,4,0)*J380,0)</f>
        <v>0</v>
      </c>
      <c r="L380" s="14">
        <f>IFERROR(VLOOKUP(G380,'Costo x Articulo'!$B:$E,3,0)*J380,0)</f>
        <v>0</v>
      </c>
      <c r="M380" s="14">
        <f t="shared" si="12"/>
        <v>0</v>
      </c>
      <c r="N380" s="1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2.75" customHeight="1">
      <c r="A381" s="2"/>
      <c r="B381" s="14"/>
      <c r="C381" s="15"/>
      <c r="D381" s="25" t="str">
        <f t="shared" si="1"/>
        <v/>
      </c>
      <c r="E381" s="25" t="str">
        <f t="shared" si="2"/>
        <v/>
      </c>
      <c r="F381" s="15"/>
      <c r="G381" s="16"/>
      <c r="H381" s="16" t="str">
        <f>IFERROR(VLOOKUP(G381,'Costo x Articulo'!$B:$C,2,0),"")</f>
        <v/>
      </c>
      <c r="I381" s="16"/>
      <c r="J381" s="14"/>
      <c r="K381" s="14">
        <f>IFERROR(VLOOKUP(G381,'Costo x Articulo'!$B:$E,4,0)*J381,0)</f>
        <v>0</v>
      </c>
      <c r="L381" s="14">
        <f>IFERROR(VLOOKUP(G381,'Costo x Articulo'!$B:$E,3,0)*J381,0)</f>
        <v>0</v>
      </c>
      <c r="M381" s="14">
        <f t="shared" si="12"/>
        <v>0</v>
      </c>
      <c r="N381" s="1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2.75" customHeight="1">
      <c r="A382" s="2"/>
      <c r="B382" s="14"/>
      <c r="C382" s="15"/>
      <c r="D382" s="25" t="str">
        <f t="shared" si="1"/>
        <v/>
      </c>
      <c r="E382" s="25" t="str">
        <f t="shared" si="2"/>
        <v/>
      </c>
      <c r="F382" s="15"/>
      <c r="G382" s="16"/>
      <c r="H382" s="16" t="str">
        <f>IFERROR(VLOOKUP(G382,'Costo x Articulo'!$B:$C,2,0),"")</f>
        <v/>
      </c>
      <c r="I382" s="16"/>
      <c r="J382" s="14"/>
      <c r="K382" s="14">
        <f>IFERROR(VLOOKUP(G382,'Costo x Articulo'!$B:$E,4,0)*J382,0)</f>
        <v>0</v>
      </c>
      <c r="L382" s="14">
        <f>IFERROR(VLOOKUP(G382,'Costo x Articulo'!$B:$E,3,0)*J382,0)</f>
        <v>0</v>
      </c>
      <c r="M382" s="14">
        <f t="shared" si="12"/>
        <v>0</v>
      </c>
      <c r="N382" s="1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2.75" customHeight="1">
      <c r="A383" s="2"/>
      <c r="B383" s="14"/>
      <c r="C383" s="15"/>
      <c r="D383" s="25" t="str">
        <f t="shared" si="1"/>
        <v/>
      </c>
      <c r="E383" s="25" t="str">
        <f t="shared" si="2"/>
        <v/>
      </c>
      <c r="F383" s="15"/>
      <c r="G383" s="16"/>
      <c r="H383" s="16" t="str">
        <f>IFERROR(VLOOKUP(G383,'Costo x Articulo'!$B:$C,2,0),"")</f>
        <v/>
      </c>
      <c r="I383" s="16"/>
      <c r="J383" s="14"/>
      <c r="K383" s="14">
        <f>IFERROR(VLOOKUP(G383,'Costo x Articulo'!$B:$E,4,0)*J383,0)</f>
        <v>0</v>
      </c>
      <c r="L383" s="14">
        <f>IFERROR(VLOOKUP(G383,'Costo x Articulo'!$B:$E,3,0)*J383,0)</f>
        <v>0</v>
      </c>
      <c r="M383" s="14">
        <f t="shared" si="12"/>
        <v>0</v>
      </c>
      <c r="N383" s="1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2.75" customHeight="1">
      <c r="A384" s="2"/>
      <c r="B384" s="14"/>
      <c r="C384" s="15"/>
      <c r="D384" s="25" t="str">
        <f t="shared" si="1"/>
        <v/>
      </c>
      <c r="E384" s="25" t="str">
        <f t="shared" si="2"/>
        <v/>
      </c>
      <c r="F384" s="15"/>
      <c r="G384" s="16"/>
      <c r="H384" s="16" t="str">
        <f>IFERROR(VLOOKUP(G384,'Costo x Articulo'!$B:$C,2,0),"")</f>
        <v/>
      </c>
      <c r="I384" s="16"/>
      <c r="J384" s="14"/>
      <c r="K384" s="14">
        <f>IFERROR(VLOOKUP(G384,'Costo x Articulo'!$B:$E,4,0)*J384,0)</f>
        <v>0</v>
      </c>
      <c r="L384" s="14">
        <f>IFERROR(VLOOKUP(G384,'Costo x Articulo'!$B:$E,3,0)*J384,0)</f>
        <v>0</v>
      </c>
      <c r="M384" s="14">
        <f t="shared" si="12"/>
        <v>0</v>
      </c>
      <c r="N384" s="1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2.75" customHeight="1">
      <c r="A385" s="2"/>
      <c r="B385" s="14"/>
      <c r="C385" s="15"/>
      <c r="D385" s="25" t="str">
        <f t="shared" si="1"/>
        <v/>
      </c>
      <c r="E385" s="25" t="str">
        <f t="shared" si="2"/>
        <v/>
      </c>
      <c r="F385" s="15"/>
      <c r="G385" s="16"/>
      <c r="H385" s="16" t="str">
        <f>IFERROR(VLOOKUP(G385,'Costo x Articulo'!$B:$C,2,0),"")</f>
        <v/>
      </c>
      <c r="I385" s="16"/>
      <c r="J385" s="14"/>
      <c r="K385" s="14">
        <f>IFERROR(VLOOKUP(G385,'Costo x Articulo'!$B:$E,4,0)*J385,0)</f>
        <v>0</v>
      </c>
      <c r="L385" s="14">
        <f>IFERROR(VLOOKUP(G385,'Costo x Articulo'!$B:$E,3,0)*J385,0)</f>
        <v>0</v>
      </c>
      <c r="M385" s="14">
        <f t="shared" si="12"/>
        <v>0</v>
      </c>
      <c r="N385" s="1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2.75" customHeight="1">
      <c r="A386" s="2"/>
      <c r="B386" s="14"/>
      <c r="C386" s="15"/>
      <c r="D386" s="25" t="str">
        <f t="shared" si="1"/>
        <v/>
      </c>
      <c r="E386" s="25" t="str">
        <f t="shared" si="2"/>
        <v/>
      </c>
      <c r="F386" s="15"/>
      <c r="G386" s="16"/>
      <c r="H386" s="16" t="str">
        <f>IFERROR(VLOOKUP(G386,'Costo x Articulo'!$B:$C,2,0),"")</f>
        <v/>
      </c>
      <c r="I386" s="16"/>
      <c r="J386" s="14"/>
      <c r="K386" s="14">
        <f>IFERROR(VLOOKUP(G386,'Costo x Articulo'!$B:$E,4,0)*J386,0)</f>
        <v>0</v>
      </c>
      <c r="L386" s="14">
        <f>IFERROR(VLOOKUP(G386,'Costo x Articulo'!$B:$E,3,0)*J386,0)</f>
        <v>0</v>
      </c>
      <c r="M386" s="14">
        <f t="shared" si="12"/>
        <v>0</v>
      </c>
      <c r="N386" s="1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2.75" customHeight="1">
      <c r="A387" s="2"/>
      <c r="B387" s="14"/>
      <c r="C387" s="15"/>
      <c r="D387" s="25" t="str">
        <f t="shared" si="1"/>
        <v/>
      </c>
      <c r="E387" s="25" t="str">
        <f t="shared" si="2"/>
        <v/>
      </c>
      <c r="F387" s="15"/>
      <c r="G387" s="16"/>
      <c r="H387" s="16" t="str">
        <f>IFERROR(VLOOKUP(G387,'Costo x Articulo'!$B:$C,2,0),"")</f>
        <v/>
      </c>
      <c r="I387" s="16"/>
      <c r="J387" s="14"/>
      <c r="K387" s="14">
        <f>IFERROR(VLOOKUP(G387,'Costo x Articulo'!$B:$E,4,0)*J387,0)</f>
        <v>0</v>
      </c>
      <c r="L387" s="14">
        <f>IFERROR(VLOOKUP(G387,'Costo x Articulo'!$B:$E,3,0)*J387,0)</f>
        <v>0</v>
      </c>
      <c r="M387" s="14">
        <f t="shared" si="12"/>
        <v>0</v>
      </c>
      <c r="N387" s="1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2.75" customHeight="1">
      <c r="A388" s="2"/>
      <c r="B388" s="14"/>
      <c r="C388" s="15"/>
      <c r="D388" s="25" t="str">
        <f t="shared" si="1"/>
        <v/>
      </c>
      <c r="E388" s="25" t="str">
        <f t="shared" si="2"/>
        <v/>
      </c>
      <c r="F388" s="15"/>
      <c r="G388" s="16"/>
      <c r="H388" s="16" t="str">
        <f>IFERROR(VLOOKUP(G388,'Costo x Articulo'!$B:$C,2,0),"")</f>
        <v/>
      </c>
      <c r="I388" s="16"/>
      <c r="J388" s="14"/>
      <c r="K388" s="14">
        <f>IFERROR(VLOOKUP(G388,'Costo x Articulo'!$B:$E,4,0)*J388,0)</f>
        <v>0</v>
      </c>
      <c r="L388" s="14">
        <f>IFERROR(VLOOKUP(G388,'Costo x Articulo'!$B:$E,3,0)*J388,0)</f>
        <v>0</v>
      </c>
      <c r="M388" s="14">
        <f t="shared" si="12"/>
        <v>0</v>
      </c>
      <c r="N388" s="1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2.75" customHeight="1">
      <c r="A389" s="2"/>
      <c r="B389" s="14"/>
      <c r="C389" s="15"/>
      <c r="D389" s="25" t="str">
        <f t="shared" si="1"/>
        <v/>
      </c>
      <c r="E389" s="25" t="str">
        <f t="shared" si="2"/>
        <v/>
      </c>
      <c r="F389" s="15"/>
      <c r="G389" s="16"/>
      <c r="H389" s="16" t="str">
        <f>IFERROR(VLOOKUP(G389,'Costo x Articulo'!$B:$C,2,0),"")</f>
        <v/>
      </c>
      <c r="I389" s="16"/>
      <c r="J389" s="14"/>
      <c r="K389" s="14">
        <f>IFERROR(VLOOKUP(G389,'Costo x Articulo'!$B:$E,4,0)*J389,0)</f>
        <v>0</v>
      </c>
      <c r="L389" s="14">
        <f>IFERROR(VLOOKUP(G389,'Costo x Articulo'!$B:$E,3,0)*J389,0)</f>
        <v>0</v>
      </c>
      <c r="M389" s="14">
        <f t="shared" si="12"/>
        <v>0</v>
      </c>
      <c r="N389" s="1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2.75" customHeight="1">
      <c r="A390" s="2"/>
      <c r="B390" s="14"/>
      <c r="C390" s="15"/>
      <c r="D390" s="25" t="str">
        <f t="shared" si="1"/>
        <v/>
      </c>
      <c r="E390" s="25" t="str">
        <f t="shared" si="2"/>
        <v/>
      </c>
      <c r="F390" s="15"/>
      <c r="G390" s="16"/>
      <c r="H390" s="16" t="str">
        <f>IFERROR(VLOOKUP(G390,'Costo x Articulo'!$B:$C,2,0),"")</f>
        <v/>
      </c>
      <c r="I390" s="16"/>
      <c r="J390" s="14"/>
      <c r="K390" s="14">
        <f>IFERROR(VLOOKUP(G390,'Costo x Articulo'!$B:$E,4,0)*J390,0)</f>
        <v>0</v>
      </c>
      <c r="L390" s="14">
        <f>IFERROR(VLOOKUP(G390,'Costo x Articulo'!$B:$E,3,0)*J390,0)</f>
        <v>0</v>
      </c>
      <c r="M390" s="14">
        <f t="shared" si="12"/>
        <v>0</v>
      </c>
      <c r="N390" s="1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2.75" customHeight="1">
      <c r="A391" s="2"/>
      <c r="B391" s="14"/>
      <c r="C391" s="15"/>
      <c r="D391" s="25" t="str">
        <f t="shared" si="1"/>
        <v/>
      </c>
      <c r="E391" s="25" t="str">
        <f t="shared" si="2"/>
        <v/>
      </c>
      <c r="F391" s="15"/>
      <c r="G391" s="16"/>
      <c r="H391" s="16" t="str">
        <f>IFERROR(VLOOKUP(G391,'Costo x Articulo'!$B:$C,2,0),"")</f>
        <v/>
      </c>
      <c r="I391" s="16"/>
      <c r="J391" s="14"/>
      <c r="K391" s="14">
        <f>IFERROR(VLOOKUP(G391,'Costo x Articulo'!$B:$E,4,0)*J391,0)</f>
        <v>0</v>
      </c>
      <c r="L391" s="14">
        <f>IFERROR(VLOOKUP(G391,'Costo x Articulo'!$B:$E,3,0)*J391,0)</f>
        <v>0</v>
      </c>
      <c r="M391" s="14">
        <f t="shared" si="12"/>
        <v>0</v>
      </c>
      <c r="N391" s="1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2.75" customHeight="1">
      <c r="A392" s="2"/>
      <c r="B392" s="14"/>
      <c r="C392" s="15"/>
      <c r="D392" s="25" t="str">
        <f t="shared" si="1"/>
        <v/>
      </c>
      <c r="E392" s="25" t="str">
        <f t="shared" si="2"/>
        <v/>
      </c>
      <c r="F392" s="15"/>
      <c r="G392" s="16"/>
      <c r="H392" s="16" t="str">
        <f>IFERROR(VLOOKUP(G392,'Costo x Articulo'!$B:$C,2,0),"")</f>
        <v/>
      </c>
      <c r="I392" s="16"/>
      <c r="J392" s="14"/>
      <c r="K392" s="14">
        <f>IFERROR(VLOOKUP(G392,'Costo x Articulo'!$B:$E,4,0)*J392,0)</f>
        <v>0</v>
      </c>
      <c r="L392" s="14">
        <f>IFERROR(VLOOKUP(G392,'Costo x Articulo'!$B:$E,3,0)*J392,0)</f>
        <v>0</v>
      </c>
      <c r="M392" s="14">
        <f t="shared" si="12"/>
        <v>0</v>
      </c>
      <c r="N392" s="1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2.75" customHeight="1">
      <c r="A393" s="2"/>
      <c r="B393" s="14"/>
      <c r="C393" s="15"/>
      <c r="D393" s="25" t="str">
        <f t="shared" si="1"/>
        <v/>
      </c>
      <c r="E393" s="25" t="str">
        <f t="shared" si="2"/>
        <v/>
      </c>
      <c r="F393" s="15"/>
      <c r="G393" s="16"/>
      <c r="H393" s="16" t="str">
        <f>IFERROR(VLOOKUP(G393,'Costo x Articulo'!$B:$C,2,0),"")</f>
        <v/>
      </c>
      <c r="I393" s="16"/>
      <c r="J393" s="14"/>
      <c r="K393" s="14">
        <f>IFERROR(VLOOKUP(G393,'Costo x Articulo'!$B:$E,4,0)*J393,0)</f>
        <v>0</v>
      </c>
      <c r="L393" s="14">
        <f>IFERROR(VLOOKUP(G393,'Costo x Articulo'!$B:$E,3,0)*J393,0)</f>
        <v>0</v>
      </c>
      <c r="M393" s="14">
        <f t="shared" si="12"/>
        <v>0</v>
      </c>
      <c r="N393" s="1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2.75" customHeight="1">
      <c r="A394" s="2"/>
      <c r="B394" s="14"/>
      <c r="C394" s="15"/>
      <c r="D394" s="25" t="str">
        <f t="shared" si="1"/>
        <v/>
      </c>
      <c r="E394" s="25" t="str">
        <f t="shared" si="2"/>
        <v/>
      </c>
      <c r="F394" s="15"/>
      <c r="G394" s="16"/>
      <c r="H394" s="16" t="str">
        <f>IFERROR(VLOOKUP(G394,'Costo x Articulo'!$B:$C,2,0),"")</f>
        <v/>
      </c>
      <c r="I394" s="16"/>
      <c r="J394" s="14"/>
      <c r="K394" s="14">
        <f>IFERROR(VLOOKUP(G394,'Costo x Articulo'!$B:$E,4,0)*J394,0)</f>
        <v>0</v>
      </c>
      <c r="L394" s="14">
        <f>IFERROR(VLOOKUP(G394,'Costo x Articulo'!$B:$E,3,0)*J394,0)</f>
        <v>0</v>
      </c>
      <c r="M394" s="14">
        <f t="shared" si="12"/>
        <v>0</v>
      </c>
      <c r="N394" s="1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2.75" customHeight="1">
      <c r="A395" s="2"/>
      <c r="B395" s="14"/>
      <c r="C395" s="15"/>
      <c r="D395" s="25" t="str">
        <f t="shared" si="1"/>
        <v/>
      </c>
      <c r="E395" s="25" t="str">
        <f t="shared" si="2"/>
        <v/>
      </c>
      <c r="F395" s="15"/>
      <c r="G395" s="16"/>
      <c r="H395" s="16" t="str">
        <f>IFERROR(VLOOKUP(G395,'Costo x Articulo'!$B:$C,2,0),"")</f>
        <v/>
      </c>
      <c r="I395" s="16"/>
      <c r="J395" s="14"/>
      <c r="K395" s="14">
        <f>IFERROR(VLOOKUP(G395,'Costo x Articulo'!$B:$E,4,0)*J395,0)</f>
        <v>0</v>
      </c>
      <c r="L395" s="14">
        <f>IFERROR(VLOOKUP(G395,'Costo x Articulo'!$B:$E,3,0)*J395,0)</f>
        <v>0</v>
      </c>
      <c r="M395" s="14">
        <f t="shared" si="12"/>
        <v>0</v>
      </c>
      <c r="N395" s="1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2.75" customHeight="1">
      <c r="A396" s="2"/>
      <c r="B396" s="14"/>
      <c r="C396" s="15"/>
      <c r="D396" s="25" t="str">
        <f t="shared" si="1"/>
        <v/>
      </c>
      <c r="E396" s="25" t="str">
        <f t="shared" si="2"/>
        <v/>
      </c>
      <c r="F396" s="15"/>
      <c r="G396" s="16"/>
      <c r="H396" s="16" t="str">
        <f>IFERROR(VLOOKUP(G396,'Costo x Articulo'!$B:$C,2,0),"")</f>
        <v/>
      </c>
      <c r="I396" s="16"/>
      <c r="J396" s="14"/>
      <c r="K396" s="14">
        <f>IFERROR(VLOOKUP(G396,'Costo x Articulo'!$B:$E,4,0)*J396,0)</f>
        <v>0</v>
      </c>
      <c r="L396" s="14">
        <f>IFERROR(VLOOKUP(G396,'Costo x Articulo'!$B:$E,3,0)*J396,0)</f>
        <v>0</v>
      </c>
      <c r="M396" s="14">
        <f t="shared" si="12"/>
        <v>0</v>
      </c>
      <c r="N396" s="1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2.75" customHeight="1">
      <c r="A397" s="2"/>
      <c r="B397" s="14"/>
      <c r="C397" s="15"/>
      <c r="D397" s="25" t="str">
        <f t="shared" si="1"/>
        <v/>
      </c>
      <c r="E397" s="25" t="str">
        <f t="shared" si="2"/>
        <v/>
      </c>
      <c r="F397" s="15"/>
      <c r="G397" s="16"/>
      <c r="H397" s="16" t="str">
        <f>IFERROR(VLOOKUP(G397,'Costo x Articulo'!$B:$C,2,0),"")</f>
        <v/>
      </c>
      <c r="I397" s="16"/>
      <c r="J397" s="14"/>
      <c r="K397" s="14">
        <f>IFERROR(VLOOKUP(G397,'Costo x Articulo'!$B:$E,4,0)*J397,0)</f>
        <v>0</v>
      </c>
      <c r="L397" s="14">
        <f>IFERROR(VLOOKUP(G397,'Costo x Articulo'!$B:$E,3,0)*J397,0)</f>
        <v>0</v>
      </c>
      <c r="M397" s="14">
        <f t="shared" si="12"/>
        <v>0</v>
      </c>
      <c r="N397" s="1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2.75" customHeight="1">
      <c r="A398" s="2"/>
      <c r="B398" s="14"/>
      <c r="C398" s="15"/>
      <c r="D398" s="25" t="str">
        <f t="shared" si="1"/>
        <v/>
      </c>
      <c r="E398" s="25" t="str">
        <f t="shared" si="2"/>
        <v/>
      </c>
      <c r="F398" s="15"/>
      <c r="G398" s="16"/>
      <c r="H398" s="16" t="str">
        <f>IFERROR(VLOOKUP(G398,'Costo x Articulo'!$B:$C,2,0),"")</f>
        <v/>
      </c>
      <c r="I398" s="16"/>
      <c r="J398" s="14"/>
      <c r="K398" s="14">
        <f>IFERROR(VLOOKUP(G398,'Costo x Articulo'!$B:$E,4,0)*J398,0)</f>
        <v>0</v>
      </c>
      <c r="L398" s="14">
        <f>IFERROR(VLOOKUP(G398,'Costo x Articulo'!$B:$E,3,0)*J398,0)</f>
        <v>0</v>
      </c>
      <c r="M398" s="14">
        <f t="shared" si="12"/>
        <v>0</v>
      </c>
      <c r="N398" s="1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2.75" customHeight="1">
      <c r="A399" s="2"/>
      <c r="B399" s="14"/>
      <c r="C399" s="15"/>
      <c r="D399" s="25" t="str">
        <f t="shared" si="1"/>
        <v/>
      </c>
      <c r="E399" s="25" t="str">
        <f t="shared" si="2"/>
        <v/>
      </c>
      <c r="F399" s="15"/>
      <c r="G399" s="16"/>
      <c r="H399" s="16" t="str">
        <f>IFERROR(VLOOKUP(G399,'Costo x Articulo'!$B:$C,2,0),"")</f>
        <v/>
      </c>
      <c r="I399" s="16"/>
      <c r="J399" s="14"/>
      <c r="K399" s="14">
        <f>IFERROR(VLOOKUP(G399,'Costo x Articulo'!$B:$E,4,0)*J399,0)</f>
        <v>0</v>
      </c>
      <c r="L399" s="14">
        <f>IFERROR(VLOOKUP(G399,'Costo x Articulo'!$B:$E,3,0)*J399,0)</f>
        <v>0</v>
      </c>
      <c r="M399" s="14">
        <f t="shared" si="12"/>
        <v>0</v>
      </c>
      <c r="N399" s="1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2.75" customHeight="1">
      <c r="A400" s="2"/>
      <c r="B400" s="14"/>
      <c r="C400" s="15"/>
      <c r="D400" s="25" t="str">
        <f t="shared" si="1"/>
        <v/>
      </c>
      <c r="E400" s="25" t="str">
        <f t="shared" si="2"/>
        <v/>
      </c>
      <c r="F400" s="15"/>
      <c r="G400" s="16"/>
      <c r="H400" s="16" t="str">
        <f>IFERROR(VLOOKUP(G400,'Costo x Articulo'!$B:$C,2,0),"")</f>
        <v/>
      </c>
      <c r="I400" s="16"/>
      <c r="J400" s="14"/>
      <c r="K400" s="14">
        <f>IFERROR(VLOOKUP(G400,'Costo x Articulo'!$B:$E,4,0)*J400,0)</f>
        <v>0</v>
      </c>
      <c r="L400" s="14">
        <f>IFERROR(VLOOKUP(G400,'Costo x Articulo'!$B:$E,3,0)*J400,0)</f>
        <v>0</v>
      </c>
      <c r="M400" s="14">
        <f t="shared" si="12"/>
        <v>0</v>
      </c>
      <c r="N400" s="1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2.75" customHeight="1">
      <c r="A401" s="2"/>
      <c r="B401" s="14"/>
      <c r="C401" s="15"/>
      <c r="D401" s="25" t="str">
        <f t="shared" si="1"/>
        <v/>
      </c>
      <c r="E401" s="25" t="str">
        <f t="shared" si="2"/>
        <v/>
      </c>
      <c r="F401" s="15"/>
      <c r="G401" s="16"/>
      <c r="H401" s="16" t="str">
        <f>IFERROR(VLOOKUP(G401,'Costo x Articulo'!$B:$C,2,0),"")</f>
        <v/>
      </c>
      <c r="I401" s="16"/>
      <c r="J401" s="14"/>
      <c r="K401" s="14">
        <f>IFERROR(VLOOKUP(G401,'Costo x Articulo'!$B:$E,4,0)*J401,0)</f>
        <v>0</v>
      </c>
      <c r="L401" s="14">
        <f>IFERROR(VLOOKUP(G401,'Costo x Articulo'!$B:$E,3,0)*J401,0)</f>
        <v>0</v>
      </c>
      <c r="M401" s="14">
        <f t="shared" si="12"/>
        <v>0</v>
      </c>
      <c r="N401" s="1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2.75" customHeight="1">
      <c r="A402" s="2"/>
      <c r="B402" s="14"/>
      <c r="C402" s="15"/>
      <c r="D402" s="25" t="str">
        <f t="shared" si="1"/>
        <v/>
      </c>
      <c r="E402" s="25" t="str">
        <f t="shared" si="2"/>
        <v/>
      </c>
      <c r="F402" s="15"/>
      <c r="G402" s="16"/>
      <c r="H402" s="16" t="str">
        <f>IFERROR(VLOOKUP(G402,'Costo x Articulo'!$B:$C,2,0),"")</f>
        <v/>
      </c>
      <c r="I402" s="16"/>
      <c r="J402" s="14"/>
      <c r="K402" s="14">
        <f>IFERROR(VLOOKUP(G402,'Costo x Articulo'!$B:$E,4,0)*J402,0)</f>
        <v>0</v>
      </c>
      <c r="L402" s="14">
        <f>IFERROR(VLOOKUP(G402,'Costo x Articulo'!$B:$E,3,0)*J402,0)</f>
        <v>0</v>
      </c>
      <c r="M402" s="14">
        <f t="shared" si="12"/>
        <v>0</v>
      </c>
      <c r="N402" s="1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2.75" customHeight="1">
      <c r="A403" s="2"/>
      <c r="B403" s="14"/>
      <c r="C403" s="15"/>
      <c r="D403" s="25" t="str">
        <f t="shared" si="1"/>
        <v/>
      </c>
      <c r="E403" s="25" t="str">
        <f t="shared" si="2"/>
        <v/>
      </c>
      <c r="F403" s="15"/>
      <c r="G403" s="16"/>
      <c r="H403" s="16" t="str">
        <f>IFERROR(VLOOKUP(G403,'Costo x Articulo'!$B:$C,2,0),"")</f>
        <v/>
      </c>
      <c r="I403" s="16"/>
      <c r="J403" s="14"/>
      <c r="K403" s="14">
        <f>IFERROR(VLOOKUP(G403,'Costo x Articulo'!$B:$E,4,0)*J403,0)</f>
        <v>0</v>
      </c>
      <c r="L403" s="14">
        <f>IFERROR(VLOOKUP(G403,'Costo x Articulo'!$B:$E,3,0)*J403,0)</f>
        <v>0</v>
      </c>
      <c r="M403" s="14">
        <f t="shared" si="12"/>
        <v>0</v>
      </c>
      <c r="N403" s="1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2.75" customHeight="1">
      <c r="A404" s="2"/>
      <c r="B404" s="14"/>
      <c r="C404" s="15"/>
      <c r="D404" s="25" t="str">
        <f t="shared" si="1"/>
        <v/>
      </c>
      <c r="E404" s="25" t="str">
        <f t="shared" si="2"/>
        <v/>
      </c>
      <c r="F404" s="15"/>
      <c r="G404" s="16"/>
      <c r="H404" s="16" t="str">
        <f>IFERROR(VLOOKUP(G404,'Costo x Articulo'!$B:$C,2,0),"")</f>
        <v/>
      </c>
      <c r="I404" s="16"/>
      <c r="J404" s="14"/>
      <c r="K404" s="14">
        <f>IFERROR(VLOOKUP(G404,'Costo x Articulo'!$B:$E,4,0)*J404,0)</f>
        <v>0</v>
      </c>
      <c r="L404" s="14">
        <f>IFERROR(VLOOKUP(G404,'Costo x Articulo'!$B:$E,3,0)*J404,0)</f>
        <v>0</v>
      </c>
      <c r="M404" s="14">
        <f t="shared" si="12"/>
        <v>0</v>
      </c>
      <c r="N404" s="1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2.75" customHeight="1">
      <c r="A405" s="2"/>
      <c r="B405" s="14"/>
      <c r="C405" s="15"/>
      <c r="D405" s="25" t="str">
        <f t="shared" si="1"/>
        <v/>
      </c>
      <c r="E405" s="25" t="str">
        <f t="shared" si="2"/>
        <v/>
      </c>
      <c r="F405" s="15"/>
      <c r="G405" s="16"/>
      <c r="H405" s="16" t="str">
        <f>IFERROR(VLOOKUP(G405,'Costo x Articulo'!$B:$C,2,0),"")</f>
        <v/>
      </c>
      <c r="I405" s="16"/>
      <c r="J405" s="14"/>
      <c r="K405" s="14">
        <f>IFERROR(VLOOKUP(G405,'Costo x Articulo'!$B:$E,4,0)*J405,0)</f>
        <v>0</v>
      </c>
      <c r="L405" s="14">
        <f>IFERROR(VLOOKUP(G405,'Costo x Articulo'!$B:$E,3,0)*J405,0)</f>
        <v>0</v>
      </c>
      <c r="M405" s="14">
        <f t="shared" si="12"/>
        <v>0</v>
      </c>
      <c r="N405" s="1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2.75" customHeight="1">
      <c r="A406" s="2"/>
      <c r="B406" s="14"/>
      <c r="C406" s="15"/>
      <c r="D406" s="25" t="str">
        <f t="shared" si="1"/>
        <v/>
      </c>
      <c r="E406" s="25" t="str">
        <f t="shared" si="2"/>
        <v/>
      </c>
      <c r="F406" s="15"/>
      <c r="G406" s="16"/>
      <c r="H406" s="16" t="str">
        <f>IFERROR(VLOOKUP(G406,'Costo x Articulo'!$B:$C,2,0),"")</f>
        <v/>
      </c>
      <c r="I406" s="16"/>
      <c r="J406" s="14"/>
      <c r="K406" s="14">
        <f>IFERROR(VLOOKUP(G406,'Costo x Articulo'!$B:$E,4,0)*J406,0)</f>
        <v>0</v>
      </c>
      <c r="L406" s="14">
        <f>IFERROR(VLOOKUP(G406,'Costo x Articulo'!$B:$E,3,0)*J406,0)</f>
        <v>0</v>
      </c>
      <c r="M406" s="14">
        <f t="shared" si="12"/>
        <v>0</v>
      </c>
      <c r="N406" s="1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2.75" customHeight="1">
      <c r="A407" s="2"/>
      <c r="B407" s="14"/>
      <c r="C407" s="15"/>
      <c r="D407" s="25" t="str">
        <f t="shared" si="1"/>
        <v/>
      </c>
      <c r="E407" s="25" t="str">
        <f t="shared" si="2"/>
        <v/>
      </c>
      <c r="F407" s="15"/>
      <c r="G407" s="16"/>
      <c r="H407" s="16" t="str">
        <f>IFERROR(VLOOKUP(G407,'Costo x Articulo'!$B:$C,2,0),"")</f>
        <v/>
      </c>
      <c r="I407" s="16"/>
      <c r="J407" s="14"/>
      <c r="K407" s="14">
        <f>IFERROR(VLOOKUP(G407,'Costo x Articulo'!$B:$E,4,0)*J407,0)</f>
        <v>0</v>
      </c>
      <c r="L407" s="14">
        <f>IFERROR(VLOOKUP(G407,'Costo x Articulo'!$B:$E,3,0)*J407,0)</f>
        <v>0</v>
      </c>
      <c r="M407" s="14">
        <f t="shared" si="12"/>
        <v>0</v>
      </c>
      <c r="N407" s="1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2.75" customHeight="1">
      <c r="A408" s="2"/>
      <c r="B408" s="14"/>
      <c r="C408" s="15"/>
      <c r="D408" s="25" t="str">
        <f t="shared" si="1"/>
        <v/>
      </c>
      <c r="E408" s="25" t="str">
        <f t="shared" si="2"/>
        <v/>
      </c>
      <c r="F408" s="15"/>
      <c r="G408" s="16"/>
      <c r="H408" s="16" t="str">
        <f>IFERROR(VLOOKUP(G408,'Costo x Articulo'!$B:$C,2,0),"")</f>
        <v/>
      </c>
      <c r="I408" s="16"/>
      <c r="J408" s="14"/>
      <c r="K408" s="14">
        <f>IFERROR(VLOOKUP(G408,'Costo x Articulo'!$B:$E,4,0)*J408,0)</f>
        <v>0</v>
      </c>
      <c r="L408" s="14">
        <f>IFERROR(VLOOKUP(G408,'Costo x Articulo'!$B:$E,3,0)*J408,0)</f>
        <v>0</v>
      </c>
      <c r="M408" s="14">
        <f t="shared" si="12"/>
        <v>0</v>
      </c>
      <c r="N408" s="1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2.75" customHeight="1">
      <c r="A409" s="2"/>
      <c r="B409" s="14"/>
      <c r="C409" s="15"/>
      <c r="D409" s="25" t="str">
        <f t="shared" si="1"/>
        <v/>
      </c>
      <c r="E409" s="25" t="str">
        <f t="shared" si="2"/>
        <v/>
      </c>
      <c r="F409" s="15"/>
      <c r="G409" s="16"/>
      <c r="H409" s="16" t="str">
        <f>IFERROR(VLOOKUP(G409,'Costo x Articulo'!$B:$C,2,0),"")</f>
        <v/>
      </c>
      <c r="I409" s="16"/>
      <c r="J409" s="14"/>
      <c r="K409" s="14">
        <f>IFERROR(VLOOKUP(G409,'Costo x Articulo'!$B:$E,4,0)*J409,0)</f>
        <v>0</v>
      </c>
      <c r="L409" s="14">
        <f>IFERROR(VLOOKUP(G409,'Costo x Articulo'!$B:$E,3,0)*J409,0)</f>
        <v>0</v>
      </c>
      <c r="M409" s="14">
        <f t="shared" si="12"/>
        <v>0</v>
      </c>
      <c r="N409" s="1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2.75" customHeight="1">
      <c r="A410" s="2"/>
      <c r="B410" s="14"/>
      <c r="C410" s="15"/>
      <c r="D410" s="25" t="str">
        <f t="shared" si="1"/>
        <v/>
      </c>
      <c r="E410" s="25" t="str">
        <f t="shared" si="2"/>
        <v/>
      </c>
      <c r="F410" s="15"/>
      <c r="G410" s="16"/>
      <c r="H410" s="16" t="str">
        <f>IFERROR(VLOOKUP(G410,'Costo x Articulo'!$B:$C,2,0),"")</f>
        <v/>
      </c>
      <c r="I410" s="16"/>
      <c r="J410" s="14"/>
      <c r="K410" s="14">
        <f>IFERROR(VLOOKUP(G410,'Costo x Articulo'!$B:$E,4,0)*J410,0)</f>
        <v>0</v>
      </c>
      <c r="L410" s="14">
        <f>IFERROR(VLOOKUP(G410,'Costo x Articulo'!$B:$E,3,0)*J410,0)</f>
        <v>0</v>
      </c>
      <c r="M410" s="14">
        <f t="shared" si="12"/>
        <v>0</v>
      </c>
      <c r="N410" s="1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2.75" customHeight="1">
      <c r="A411" s="2"/>
      <c r="B411" s="14"/>
      <c r="C411" s="15"/>
      <c r="D411" s="25" t="str">
        <f t="shared" si="1"/>
        <v/>
      </c>
      <c r="E411" s="25" t="str">
        <f t="shared" si="2"/>
        <v/>
      </c>
      <c r="F411" s="15"/>
      <c r="G411" s="16"/>
      <c r="H411" s="16" t="str">
        <f>IFERROR(VLOOKUP(G411,'Costo x Articulo'!$B:$C,2,0),"")</f>
        <v/>
      </c>
      <c r="I411" s="16"/>
      <c r="J411" s="14"/>
      <c r="K411" s="14">
        <f>IFERROR(VLOOKUP(G411,'Costo x Articulo'!$B:$E,4,0)*J411,0)</f>
        <v>0</v>
      </c>
      <c r="L411" s="14">
        <f>IFERROR(VLOOKUP(G411,'Costo x Articulo'!$B:$E,3,0)*J411,0)</f>
        <v>0</v>
      </c>
      <c r="M411" s="14">
        <f t="shared" si="12"/>
        <v>0</v>
      </c>
      <c r="N411" s="1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2.75" customHeight="1">
      <c r="A412" s="2"/>
      <c r="B412" s="14"/>
      <c r="C412" s="15"/>
      <c r="D412" s="25" t="str">
        <f t="shared" si="1"/>
        <v/>
      </c>
      <c r="E412" s="25" t="str">
        <f t="shared" si="2"/>
        <v/>
      </c>
      <c r="F412" s="15"/>
      <c r="G412" s="16"/>
      <c r="H412" s="16" t="str">
        <f>IFERROR(VLOOKUP(G412,'Costo x Articulo'!$B:$C,2,0),"")</f>
        <v/>
      </c>
      <c r="I412" s="16"/>
      <c r="J412" s="14"/>
      <c r="K412" s="14">
        <f>IFERROR(VLOOKUP(G412,'Costo x Articulo'!$B:$E,4,0)*J412,0)</f>
        <v>0</v>
      </c>
      <c r="L412" s="14">
        <f>IFERROR(VLOOKUP(G412,'Costo x Articulo'!$B:$E,3,0)*J412,0)</f>
        <v>0</v>
      </c>
      <c r="M412" s="14">
        <f t="shared" si="12"/>
        <v>0</v>
      </c>
      <c r="N412" s="1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2.75" customHeight="1">
      <c r="A413" s="2"/>
      <c r="B413" s="14"/>
      <c r="C413" s="15"/>
      <c r="D413" s="25" t="str">
        <f t="shared" si="1"/>
        <v/>
      </c>
      <c r="E413" s="25" t="str">
        <f t="shared" si="2"/>
        <v/>
      </c>
      <c r="F413" s="15"/>
      <c r="G413" s="16"/>
      <c r="H413" s="16" t="str">
        <f>IFERROR(VLOOKUP(G413,'Costo x Articulo'!$B:$C,2,0),"")</f>
        <v/>
      </c>
      <c r="I413" s="16"/>
      <c r="J413" s="14"/>
      <c r="K413" s="14">
        <f>IFERROR(VLOOKUP(G413,'Costo x Articulo'!$B:$E,4,0)*J413,0)</f>
        <v>0</v>
      </c>
      <c r="L413" s="14">
        <f>IFERROR(VLOOKUP(G413,'Costo x Articulo'!$B:$E,3,0)*J413,0)</f>
        <v>0</v>
      </c>
      <c r="M413" s="14">
        <f t="shared" si="12"/>
        <v>0</v>
      </c>
      <c r="N413" s="1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2.75" customHeight="1">
      <c r="A414" s="2"/>
      <c r="B414" s="14"/>
      <c r="C414" s="15"/>
      <c r="D414" s="25" t="str">
        <f t="shared" si="1"/>
        <v/>
      </c>
      <c r="E414" s="25" t="str">
        <f t="shared" si="2"/>
        <v/>
      </c>
      <c r="F414" s="15"/>
      <c r="G414" s="16"/>
      <c r="H414" s="16" t="str">
        <f>IFERROR(VLOOKUP(G414,'Costo x Articulo'!$B:$C,2,0),"")</f>
        <v/>
      </c>
      <c r="I414" s="16"/>
      <c r="J414" s="14"/>
      <c r="K414" s="14">
        <f>IFERROR(VLOOKUP(G414,'Costo x Articulo'!$B:$E,4,0)*J414,0)</f>
        <v>0</v>
      </c>
      <c r="L414" s="14">
        <f>IFERROR(VLOOKUP(G414,'Costo x Articulo'!$B:$E,3,0)*J414,0)</f>
        <v>0</v>
      </c>
      <c r="M414" s="14">
        <f t="shared" si="12"/>
        <v>0</v>
      </c>
      <c r="N414" s="1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2.75" customHeight="1">
      <c r="A415" s="2"/>
      <c r="B415" s="14"/>
      <c r="C415" s="15"/>
      <c r="D415" s="25" t="str">
        <f t="shared" si="1"/>
        <v/>
      </c>
      <c r="E415" s="25" t="str">
        <f t="shared" si="2"/>
        <v/>
      </c>
      <c r="F415" s="15"/>
      <c r="G415" s="16"/>
      <c r="H415" s="16" t="str">
        <f>IFERROR(VLOOKUP(G415,'Costo x Articulo'!$B:$C,2,0),"")</f>
        <v/>
      </c>
      <c r="I415" s="16"/>
      <c r="J415" s="14"/>
      <c r="K415" s="14">
        <f>IFERROR(VLOOKUP(G415,'Costo x Articulo'!$B:$E,4,0)*J415,0)</f>
        <v>0</v>
      </c>
      <c r="L415" s="14">
        <f>IFERROR(VLOOKUP(G415,'Costo x Articulo'!$B:$E,3,0)*J415,0)</f>
        <v>0</v>
      </c>
      <c r="M415" s="14">
        <f t="shared" si="12"/>
        <v>0</v>
      </c>
      <c r="N415" s="1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2.75" customHeight="1">
      <c r="A416" s="2"/>
      <c r="B416" s="14"/>
      <c r="C416" s="15"/>
      <c r="D416" s="25" t="str">
        <f t="shared" si="1"/>
        <v/>
      </c>
      <c r="E416" s="25" t="str">
        <f t="shared" si="2"/>
        <v/>
      </c>
      <c r="F416" s="15"/>
      <c r="G416" s="16"/>
      <c r="H416" s="16" t="str">
        <f>IFERROR(VLOOKUP(G416,'Costo x Articulo'!$B:$C,2,0),"")</f>
        <v/>
      </c>
      <c r="I416" s="16"/>
      <c r="J416" s="14"/>
      <c r="K416" s="14">
        <f>IFERROR(VLOOKUP(G416,'Costo x Articulo'!$B:$E,4,0)*J416,0)</f>
        <v>0</v>
      </c>
      <c r="L416" s="14">
        <f>IFERROR(VLOOKUP(G416,'Costo x Articulo'!$B:$E,3,0)*J416,0)</f>
        <v>0</v>
      </c>
      <c r="M416" s="14">
        <f t="shared" si="12"/>
        <v>0</v>
      </c>
      <c r="N416" s="1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2.75" customHeight="1">
      <c r="A417" s="2"/>
      <c r="B417" s="14"/>
      <c r="C417" s="15"/>
      <c r="D417" s="25" t="str">
        <f t="shared" si="1"/>
        <v/>
      </c>
      <c r="E417" s="25" t="str">
        <f t="shared" si="2"/>
        <v/>
      </c>
      <c r="F417" s="15"/>
      <c r="G417" s="16"/>
      <c r="H417" s="16" t="str">
        <f>IFERROR(VLOOKUP(G417,'Costo x Articulo'!$B:$C,2,0),"")</f>
        <v/>
      </c>
      <c r="I417" s="16"/>
      <c r="J417" s="14"/>
      <c r="K417" s="14">
        <f>IFERROR(VLOOKUP(G417,'Costo x Articulo'!$B:$E,4,0)*J417,0)</f>
        <v>0</v>
      </c>
      <c r="L417" s="14">
        <f>IFERROR(VLOOKUP(G417,'Costo x Articulo'!$B:$E,3,0)*J417,0)</f>
        <v>0</v>
      </c>
      <c r="M417" s="14">
        <f t="shared" si="12"/>
        <v>0</v>
      </c>
      <c r="N417" s="1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2.75" customHeight="1">
      <c r="A418" s="2"/>
      <c r="B418" s="14"/>
      <c r="C418" s="15"/>
      <c r="D418" s="25" t="str">
        <f t="shared" si="1"/>
        <v/>
      </c>
      <c r="E418" s="25" t="str">
        <f t="shared" si="2"/>
        <v/>
      </c>
      <c r="F418" s="15"/>
      <c r="G418" s="16"/>
      <c r="H418" s="16" t="str">
        <f>IFERROR(VLOOKUP(G418,'Costo x Articulo'!$B:$C,2,0),"")</f>
        <v/>
      </c>
      <c r="I418" s="16"/>
      <c r="J418" s="14"/>
      <c r="K418" s="14">
        <f>IFERROR(VLOOKUP(G418,'Costo x Articulo'!$B:$E,4,0)*J418,0)</f>
        <v>0</v>
      </c>
      <c r="L418" s="14">
        <f>IFERROR(VLOOKUP(G418,'Costo x Articulo'!$B:$E,3,0)*J418,0)</f>
        <v>0</v>
      </c>
      <c r="M418" s="14">
        <f t="shared" si="12"/>
        <v>0</v>
      </c>
      <c r="N418" s="1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2.75" customHeight="1">
      <c r="A419" s="2"/>
      <c r="B419" s="14"/>
      <c r="C419" s="15"/>
      <c r="D419" s="25" t="str">
        <f t="shared" si="1"/>
        <v/>
      </c>
      <c r="E419" s="25" t="str">
        <f t="shared" si="2"/>
        <v/>
      </c>
      <c r="F419" s="15"/>
      <c r="G419" s="16"/>
      <c r="H419" s="16" t="str">
        <f>IFERROR(VLOOKUP(G419,'Costo x Articulo'!$B:$C,2,0),"")</f>
        <v/>
      </c>
      <c r="I419" s="16"/>
      <c r="J419" s="14"/>
      <c r="K419" s="14">
        <f>IFERROR(VLOOKUP(G419,'Costo x Articulo'!$B:$E,4,0)*J419,0)</f>
        <v>0</v>
      </c>
      <c r="L419" s="14">
        <f>IFERROR(VLOOKUP(G419,'Costo x Articulo'!$B:$E,3,0)*J419,0)</f>
        <v>0</v>
      </c>
      <c r="M419" s="14">
        <f t="shared" si="12"/>
        <v>0</v>
      </c>
      <c r="N419" s="1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2.75" customHeight="1">
      <c r="A420" s="2"/>
      <c r="B420" s="14"/>
      <c r="C420" s="15"/>
      <c r="D420" s="25" t="str">
        <f t="shared" si="1"/>
        <v/>
      </c>
      <c r="E420" s="25" t="str">
        <f t="shared" si="2"/>
        <v/>
      </c>
      <c r="F420" s="15"/>
      <c r="G420" s="16"/>
      <c r="H420" s="16" t="str">
        <f>IFERROR(VLOOKUP(G420,'Costo x Articulo'!$B:$C,2,0),"")</f>
        <v/>
      </c>
      <c r="I420" s="16"/>
      <c r="J420" s="14"/>
      <c r="K420" s="14">
        <f>IFERROR(VLOOKUP(G420,'Costo x Articulo'!$B:$E,4,0)*J420,0)</f>
        <v>0</v>
      </c>
      <c r="L420" s="14">
        <f>IFERROR(VLOOKUP(G420,'Costo x Articulo'!$B:$E,3,0)*J420,0)</f>
        <v>0</v>
      </c>
      <c r="M420" s="14">
        <f t="shared" si="12"/>
        <v>0</v>
      </c>
      <c r="N420" s="1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2.75" customHeight="1">
      <c r="A421" s="2"/>
      <c r="B421" s="14"/>
      <c r="C421" s="15"/>
      <c r="D421" s="25" t="str">
        <f t="shared" si="1"/>
        <v/>
      </c>
      <c r="E421" s="25" t="str">
        <f t="shared" si="2"/>
        <v/>
      </c>
      <c r="F421" s="15"/>
      <c r="G421" s="16"/>
      <c r="H421" s="16" t="str">
        <f>IFERROR(VLOOKUP(G421,'Costo x Articulo'!$B:$C,2,0),"")</f>
        <v/>
      </c>
      <c r="I421" s="16"/>
      <c r="J421" s="14"/>
      <c r="K421" s="14">
        <f>IFERROR(VLOOKUP(G421,'Costo x Articulo'!$B:$E,4,0)*J421,0)</f>
        <v>0</v>
      </c>
      <c r="L421" s="14">
        <f>IFERROR(VLOOKUP(G421,'Costo x Articulo'!$B:$E,3,0)*J421,0)</f>
        <v>0</v>
      </c>
      <c r="M421" s="14">
        <f t="shared" si="12"/>
        <v>0</v>
      </c>
      <c r="N421" s="1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2.75" customHeight="1">
      <c r="A422" s="2"/>
      <c r="B422" s="14"/>
      <c r="C422" s="15"/>
      <c r="D422" s="25" t="str">
        <f t="shared" si="1"/>
        <v/>
      </c>
      <c r="E422" s="25" t="str">
        <f t="shared" si="2"/>
        <v/>
      </c>
      <c r="F422" s="15"/>
      <c r="G422" s="16"/>
      <c r="H422" s="16" t="str">
        <f>IFERROR(VLOOKUP(G422,'Costo x Articulo'!$B:$C,2,0),"")</f>
        <v/>
      </c>
      <c r="I422" s="16"/>
      <c r="J422" s="14"/>
      <c r="K422" s="14">
        <f>IFERROR(VLOOKUP(G422,'Costo x Articulo'!$B:$E,4,0)*J422,0)</f>
        <v>0</v>
      </c>
      <c r="L422" s="14">
        <f>IFERROR(VLOOKUP(G422,'Costo x Articulo'!$B:$E,3,0)*J422,0)</f>
        <v>0</v>
      </c>
      <c r="M422" s="14">
        <f t="shared" si="12"/>
        <v>0</v>
      </c>
      <c r="N422" s="1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2.75" customHeight="1">
      <c r="A423" s="2"/>
      <c r="B423" s="14"/>
      <c r="C423" s="15"/>
      <c r="D423" s="25" t="str">
        <f t="shared" si="1"/>
        <v/>
      </c>
      <c r="E423" s="25" t="str">
        <f t="shared" si="2"/>
        <v/>
      </c>
      <c r="F423" s="15"/>
      <c r="G423" s="16"/>
      <c r="H423" s="16" t="str">
        <f>IFERROR(VLOOKUP(G423,'Costo x Articulo'!$B:$C,2,0),"")</f>
        <v/>
      </c>
      <c r="I423" s="16"/>
      <c r="J423" s="14"/>
      <c r="K423" s="14">
        <f>IFERROR(VLOOKUP(G423,'Costo x Articulo'!$B:$E,4,0)*J423,0)</f>
        <v>0</v>
      </c>
      <c r="L423" s="14">
        <f>IFERROR(VLOOKUP(G423,'Costo x Articulo'!$B:$E,3,0)*J423,0)</f>
        <v>0</v>
      </c>
      <c r="M423" s="14">
        <f t="shared" si="12"/>
        <v>0</v>
      </c>
      <c r="N423" s="1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2.75" customHeight="1">
      <c r="A424" s="2"/>
      <c r="B424" s="14"/>
      <c r="C424" s="15"/>
      <c r="D424" s="25" t="str">
        <f t="shared" si="1"/>
        <v/>
      </c>
      <c r="E424" s="25" t="str">
        <f t="shared" si="2"/>
        <v/>
      </c>
      <c r="F424" s="15"/>
      <c r="G424" s="16"/>
      <c r="H424" s="16" t="str">
        <f>IFERROR(VLOOKUP(G424,'Costo x Articulo'!$B:$C,2,0),"")</f>
        <v/>
      </c>
      <c r="I424" s="16"/>
      <c r="J424" s="14"/>
      <c r="K424" s="14">
        <f>IFERROR(VLOOKUP(G424,'Costo x Articulo'!$B:$E,4,0)*J424,0)</f>
        <v>0</v>
      </c>
      <c r="L424" s="14">
        <f>IFERROR(VLOOKUP(G424,'Costo x Articulo'!$B:$E,3,0)*J424,0)</f>
        <v>0</v>
      </c>
      <c r="M424" s="14">
        <f t="shared" si="12"/>
        <v>0</v>
      </c>
      <c r="N424" s="1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2.75" customHeight="1">
      <c r="A425" s="2"/>
      <c r="B425" s="14"/>
      <c r="C425" s="15"/>
      <c r="D425" s="25" t="str">
        <f t="shared" si="1"/>
        <v/>
      </c>
      <c r="E425" s="25" t="str">
        <f t="shared" si="2"/>
        <v/>
      </c>
      <c r="F425" s="15"/>
      <c r="G425" s="16"/>
      <c r="H425" s="16" t="str">
        <f>IFERROR(VLOOKUP(G425,'Costo x Articulo'!$B:$C,2,0),"")</f>
        <v/>
      </c>
      <c r="I425" s="16"/>
      <c r="J425" s="14"/>
      <c r="K425" s="14">
        <f>IFERROR(VLOOKUP(G425,'Costo x Articulo'!$B:$E,4,0)*J425,0)</f>
        <v>0</v>
      </c>
      <c r="L425" s="14">
        <f>IFERROR(VLOOKUP(G425,'Costo x Articulo'!$B:$E,3,0)*J425,0)</f>
        <v>0</v>
      </c>
      <c r="M425" s="14">
        <f t="shared" si="12"/>
        <v>0</v>
      </c>
      <c r="N425" s="1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2.75" customHeight="1">
      <c r="A426" s="2"/>
      <c r="B426" s="14"/>
      <c r="C426" s="15"/>
      <c r="D426" s="25" t="str">
        <f t="shared" si="1"/>
        <v/>
      </c>
      <c r="E426" s="25" t="str">
        <f t="shared" si="2"/>
        <v/>
      </c>
      <c r="F426" s="15"/>
      <c r="G426" s="16"/>
      <c r="H426" s="16" t="str">
        <f>IFERROR(VLOOKUP(G426,'Costo x Articulo'!$B:$C,2,0),"")</f>
        <v/>
      </c>
      <c r="I426" s="16"/>
      <c r="J426" s="14"/>
      <c r="K426" s="14">
        <f>IFERROR(VLOOKUP(G426,'Costo x Articulo'!$B:$E,4,0)*J426,0)</f>
        <v>0</v>
      </c>
      <c r="L426" s="14">
        <f>IFERROR(VLOOKUP(G426,'Costo x Articulo'!$B:$E,3,0)*J426,0)</f>
        <v>0</v>
      </c>
      <c r="M426" s="14">
        <f t="shared" si="12"/>
        <v>0</v>
      </c>
      <c r="N426" s="1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2.75" customHeight="1">
      <c r="A427" s="2"/>
      <c r="B427" s="14"/>
      <c r="C427" s="15"/>
      <c r="D427" s="25" t="str">
        <f t="shared" si="1"/>
        <v/>
      </c>
      <c r="E427" s="25" t="str">
        <f t="shared" si="2"/>
        <v/>
      </c>
      <c r="F427" s="15"/>
      <c r="G427" s="16"/>
      <c r="H427" s="16" t="str">
        <f>IFERROR(VLOOKUP(G427,'Costo x Articulo'!$B:$C,2,0),"")</f>
        <v/>
      </c>
      <c r="I427" s="16"/>
      <c r="J427" s="14"/>
      <c r="K427" s="14">
        <f>IFERROR(VLOOKUP(G427,'Costo x Articulo'!$B:$E,4,0)*J427,0)</f>
        <v>0</v>
      </c>
      <c r="L427" s="14">
        <f>IFERROR(VLOOKUP(G427,'Costo x Articulo'!$B:$E,3,0)*J427,0)</f>
        <v>0</v>
      </c>
      <c r="M427" s="14">
        <f t="shared" si="12"/>
        <v>0</v>
      </c>
      <c r="N427" s="1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2.75" customHeight="1">
      <c r="A428" s="2"/>
      <c r="B428" s="14"/>
      <c r="C428" s="15"/>
      <c r="D428" s="25" t="str">
        <f t="shared" si="1"/>
        <v/>
      </c>
      <c r="E428" s="25" t="str">
        <f t="shared" si="2"/>
        <v/>
      </c>
      <c r="F428" s="15"/>
      <c r="G428" s="16"/>
      <c r="H428" s="16" t="str">
        <f>IFERROR(VLOOKUP(G428,'Costo x Articulo'!$B:$C,2,0),"")</f>
        <v/>
      </c>
      <c r="I428" s="16"/>
      <c r="J428" s="14"/>
      <c r="K428" s="14">
        <f>IFERROR(VLOOKUP(G428,'Costo x Articulo'!$B:$E,4,0)*J428,0)</f>
        <v>0</v>
      </c>
      <c r="L428" s="14">
        <f>IFERROR(VLOOKUP(G428,'Costo x Articulo'!$B:$E,3,0)*J428,0)</f>
        <v>0</v>
      </c>
      <c r="M428" s="14">
        <f t="shared" si="12"/>
        <v>0</v>
      </c>
      <c r="N428" s="1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2.75" customHeight="1">
      <c r="A429" s="2"/>
      <c r="B429" s="14"/>
      <c r="C429" s="15"/>
      <c r="D429" s="25" t="str">
        <f t="shared" si="1"/>
        <v/>
      </c>
      <c r="E429" s="25" t="str">
        <f t="shared" si="2"/>
        <v/>
      </c>
      <c r="F429" s="15"/>
      <c r="G429" s="16"/>
      <c r="H429" s="16" t="str">
        <f>IFERROR(VLOOKUP(G429,'Costo x Articulo'!$B:$C,2,0),"")</f>
        <v/>
      </c>
      <c r="I429" s="16"/>
      <c r="J429" s="14"/>
      <c r="K429" s="14">
        <f>IFERROR(VLOOKUP(G429,'Costo x Articulo'!$B:$E,4,0)*J429,0)</f>
        <v>0</v>
      </c>
      <c r="L429" s="14">
        <f>IFERROR(VLOOKUP(G429,'Costo x Articulo'!$B:$E,3,0)*J429,0)</f>
        <v>0</v>
      </c>
      <c r="M429" s="14">
        <f t="shared" si="12"/>
        <v>0</v>
      </c>
      <c r="N429" s="1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2.75" customHeight="1">
      <c r="A430" s="2"/>
      <c r="B430" s="14"/>
      <c r="C430" s="15"/>
      <c r="D430" s="25" t="str">
        <f t="shared" si="1"/>
        <v/>
      </c>
      <c r="E430" s="25" t="str">
        <f t="shared" si="2"/>
        <v/>
      </c>
      <c r="F430" s="15"/>
      <c r="G430" s="16"/>
      <c r="H430" s="16" t="str">
        <f>IFERROR(VLOOKUP(G430,'Costo x Articulo'!$B:$C,2,0),"")</f>
        <v/>
      </c>
      <c r="I430" s="16"/>
      <c r="J430" s="14"/>
      <c r="K430" s="14">
        <f>IFERROR(VLOOKUP(G430,'Costo x Articulo'!$B:$E,4,0)*J430,0)</f>
        <v>0</v>
      </c>
      <c r="L430" s="14">
        <f>IFERROR(VLOOKUP(G430,'Costo x Articulo'!$B:$E,3,0)*J430,0)</f>
        <v>0</v>
      </c>
      <c r="M430" s="14">
        <f t="shared" si="12"/>
        <v>0</v>
      </c>
      <c r="N430" s="1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2.75" customHeight="1">
      <c r="A431" s="2"/>
      <c r="B431" s="14"/>
      <c r="C431" s="15"/>
      <c r="D431" s="25" t="str">
        <f t="shared" si="1"/>
        <v/>
      </c>
      <c r="E431" s="25" t="str">
        <f t="shared" si="2"/>
        <v/>
      </c>
      <c r="F431" s="15"/>
      <c r="G431" s="16"/>
      <c r="H431" s="16" t="str">
        <f>IFERROR(VLOOKUP(G431,'Costo x Articulo'!$B:$C,2,0),"")</f>
        <v/>
      </c>
      <c r="I431" s="16"/>
      <c r="J431" s="14"/>
      <c r="K431" s="14">
        <f>IFERROR(VLOOKUP(G431,'Costo x Articulo'!$B:$E,4,0)*J431,0)</f>
        <v>0</v>
      </c>
      <c r="L431" s="14">
        <f>IFERROR(VLOOKUP(G431,'Costo x Articulo'!$B:$E,3,0)*J431,0)</f>
        <v>0</v>
      </c>
      <c r="M431" s="14">
        <f t="shared" si="12"/>
        <v>0</v>
      </c>
      <c r="N431" s="1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2.75" customHeight="1">
      <c r="A432" s="2"/>
      <c r="B432" s="14"/>
      <c r="C432" s="15"/>
      <c r="D432" s="25" t="str">
        <f t="shared" si="1"/>
        <v/>
      </c>
      <c r="E432" s="25" t="str">
        <f t="shared" si="2"/>
        <v/>
      </c>
      <c r="F432" s="15"/>
      <c r="G432" s="16"/>
      <c r="H432" s="16" t="str">
        <f>IFERROR(VLOOKUP(G432,'Costo x Articulo'!$B:$C,2,0),"")</f>
        <v/>
      </c>
      <c r="I432" s="16"/>
      <c r="J432" s="14"/>
      <c r="K432" s="14">
        <f>IFERROR(VLOOKUP(G432,'Costo x Articulo'!$B:$E,4,0)*J432,0)</f>
        <v>0</v>
      </c>
      <c r="L432" s="14">
        <f>IFERROR(VLOOKUP(G432,'Costo x Articulo'!$B:$E,3,0)*J432,0)</f>
        <v>0</v>
      </c>
      <c r="M432" s="14">
        <f t="shared" si="12"/>
        <v>0</v>
      </c>
      <c r="N432" s="1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2.75" customHeight="1">
      <c r="A433" s="2"/>
      <c r="B433" s="14"/>
      <c r="C433" s="15"/>
      <c r="D433" s="25" t="str">
        <f t="shared" si="1"/>
        <v/>
      </c>
      <c r="E433" s="25" t="str">
        <f t="shared" si="2"/>
        <v/>
      </c>
      <c r="F433" s="15"/>
      <c r="G433" s="16"/>
      <c r="H433" s="16" t="str">
        <f>IFERROR(VLOOKUP(G433,'Costo x Articulo'!$B:$C,2,0),"")</f>
        <v/>
      </c>
      <c r="I433" s="16"/>
      <c r="J433" s="14"/>
      <c r="K433" s="14">
        <f>IFERROR(VLOOKUP(G433,'Costo x Articulo'!$B:$E,4,0)*J433,0)</f>
        <v>0</v>
      </c>
      <c r="L433" s="14">
        <f>IFERROR(VLOOKUP(G433,'Costo x Articulo'!$B:$E,3,0)*J433,0)</f>
        <v>0</v>
      </c>
      <c r="M433" s="14">
        <f t="shared" si="12"/>
        <v>0</v>
      </c>
      <c r="N433" s="1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2.75" customHeight="1">
      <c r="A434" s="2"/>
      <c r="B434" s="14"/>
      <c r="C434" s="15"/>
      <c r="D434" s="25" t="str">
        <f t="shared" si="1"/>
        <v/>
      </c>
      <c r="E434" s="25" t="str">
        <f t="shared" si="2"/>
        <v/>
      </c>
      <c r="F434" s="15"/>
      <c r="G434" s="16"/>
      <c r="H434" s="16" t="str">
        <f>IFERROR(VLOOKUP(G434,'Costo x Articulo'!$B:$C,2,0),"")</f>
        <v/>
      </c>
      <c r="I434" s="16"/>
      <c r="J434" s="14"/>
      <c r="K434" s="14">
        <f>IFERROR(VLOOKUP(G434,'Costo x Articulo'!$B:$E,4,0)*J434,0)</f>
        <v>0</v>
      </c>
      <c r="L434" s="14">
        <f>IFERROR(VLOOKUP(G434,'Costo x Articulo'!$B:$E,3,0)*J434,0)</f>
        <v>0</v>
      </c>
      <c r="M434" s="14">
        <f t="shared" si="12"/>
        <v>0</v>
      </c>
      <c r="N434" s="1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2.75" customHeight="1">
      <c r="A435" s="2"/>
      <c r="B435" s="14"/>
      <c r="C435" s="15"/>
      <c r="D435" s="25" t="str">
        <f t="shared" si="1"/>
        <v/>
      </c>
      <c r="E435" s="25" t="str">
        <f t="shared" si="2"/>
        <v/>
      </c>
      <c r="F435" s="15"/>
      <c r="G435" s="16"/>
      <c r="H435" s="16" t="str">
        <f>IFERROR(VLOOKUP(G435,'Costo x Articulo'!$B:$C,2,0),"")</f>
        <v/>
      </c>
      <c r="I435" s="16"/>
      <c r="J435" s="14"/>
      <c r="K435" s="14">
        <f>IFERROR(VLOOKUP(G435,'Costo x Articulo'!$B:$E,4,0)*J435,0)</f>
        <v>0</v>
      </c>
      <c r="L435" s="14">
        <f>IFERROR(VLOOKUP(G435,'Costo x Articulo'!$B:$E,3,0)*J435,0)</f>
        <v>0</v>
      </c>
      <c r="M435" s="14">
        <f t="shared" si="12"/>
        <v>0</v>
      </c>
      <c r="N435" s="1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2.75" customHeight="1">
      <c r="A436" s="2"/>
      <c r="B436" s="14"/>
      <c r="C436" s="15"/>
      <c r="D436" s="25" t="str">
        <f t="shared" si="1"/>
        <v/>
      </c>
      <c r="E436" s="25" t="str">
        <f t="shared" si="2"/>
        <v/>
      </c>
      <c r="F436" s="15"/>
      <c r="G436" s="16"/>
      <c r="H436" s="16" t="str">
        <f>IFERROR(VLOOKUP(G436,'Costo x Articulo'!$B:$C,2,0),"")</f>
        <v/>
      </c>
      <c r="I436" s="16"/>
      <c r="J436" s="14"/>
      <c r="K436" s="14">
        <f>IFERROR(VLOOKUP(G436,'Costo x Articulo'!$B:$E,4,0)*J436,0)</f>
        <v>0</v>
      </c>
      <c r="L436" s="14">
        <f>IFERROR(VLOOKUP(G436,'Costo x Articulo'!$B:$E,3,0)*J436,0)</f>
        <v>0</v>
      </c>
      <c r="M436" s="14">
        <f t="shared" si="12"/>
        <v>0</v>
      </c>
      <c r="N436" s="1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2.75" customHeight="1">
      <c r="A437" s="2"/>
      <c r="B437" s="14"/>
      <c r="C437" s="15"/>
      <c r="D437" s="25" t="str">
        <f t="shared" si="1"/>
        <v/>
      </c>
      <c r="E437" s="25" t="str">
        <f t="shared" si="2"/>
        <v/>
      </c>
      <c r="F437" s="15"/>
      <c r="G437" s="16"/>
      <c r="H437" s="16" t="str">
        <f>IFERROR(VLOOKUP(G437,'Costo x Articulo'!$B:$C,2,0),"")</f>
        <v/>
      </c>
      <c r="I437" s="16"/>
      <c r="J437" s="14"/>
      <c r="K437" s="14">
        <f>IFERROR(VLOOKUP(G437,'Costo x Articulo'!$B:$E,4,0)*J437,0)</f>
        <v>0</v>
      </c>
      <c r="L437" s="14">
        <f>IFERROR(VLOOKUP(G437,'Costo x Articulo'!$B:$E,3,0)*J437,0)</f>
        <v>0</v>
      </c>
      <c r="M437" s="14">
        <f t="shared" si="12"/>
        <v>0</v>
      </c>
      <c r="N437" s="1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2.75" customHeight="1">
      <c r="A438" s="2"/>
      <c r="B438" s="14"/>
      <c r="C438" s="15"/>
      <c r="D438" s="25" t="str">
        <f t="shared" si="1"/>
        <v/>
      </c>
      <c r="E438" s="25" t="str">
        <f t="shared" si="2"/>
        <v/>
      </c>
      <c r="F438" s="15"/>
      <c r="G438" s="16"/>
      <c r="H438" s="16" t="str">
        <f>IFERROR(VLOOKUP(G438,'Costo x Articulo'!$B:$C,2,0),"")</f>
        <v/>
      </c>
      <c r="I438" s="16"/>
      <c r="J438" s="14"/>
      <c r="K438" s="14">
        <f>IFERROR(VLOOKUP(G438,'Costo x Articulo'!$B:$E,4,0)*J438,0)</f>
        <v>0</v>
      </c>
      <c r="L438" s="14">
        <f>IFERROR(VLOOKUP(G438,'Costo x Articulo'!$B:$E,3,0)*J438,0)</f>
        <v>0</v>
      </c>
      <c r="M438" s="14">
        <f t="shared" si="12"/>
        <v>0</v>
      </c>
      <c r="N438" s="1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2.75" customHeight="1">
      <c r="A439" s="2"/>
      <c r="B439" s="14"/>
      <c r="C439" s="15"/>
      <c r="D439" s="25" t="str">
        <f t="shared" si="1"/>
        <v/>
      </c>
      <c r="E439" s="25" t="str">
        <f t="shared" si="2"/>
        <v/>
      </c>
      <c r="F439" s="15"/>
      <c r="G439" s="16"/>
      <c r="H439" s="16" t="str">
        <f>IFERROR(VLOOKUP(G439,'Costo x Articulo'!$B:$C,2,0),"")</f>
        <v/>
      </c>
      <c r="I439" s="16"/>
      <c r="J439" s="14"/>
      <c r="K439" s="14">
        <f>IFERROR(VLOOKUP(G439,'Costo x Articulo'!$B:$E,4,0)*J439,0)</f>
        <v>0</v>
      </c>
      <c r="L439" s="14">
        <f>IFERROR(VLOOKUP(G439,'Costo x Articulo'!$B:$E,3,0)*J439,0)</f>
        <v>0</v>
      </c>
      <c r="M439" s="14">
        <f t="shared" si="12"/>
        <v>0</v>
      </c>
      <c r="N439" s="1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2.75" customHeight="1">
      <c r="A440" s="2"/>
      <c r="B440" s="14"/>
      <c r="C440" s="15"/>
      <c r="D440" s="25" t="str">
        <f t="shared" si="1"/>
        <v/>
      </c>
      <c r="E440" s="25" t="str">
        <f t="shared" si="2"/>
        <v/>
      </c>
      <c r="F440" s="15"/>
      <c r="G440" s="16"/>
      <c r="H440" s="16" t="str">
        <f>IFERROR(VLOOKUP(G440,'Costo x Articulo'!$B:$C,2,0),"")</f>
        <v/>
      </c>
      <c r="I440" s="16"/>
      <c r="J440" s="14"/>
      <c r="K440" s="14">
        <f>IFERROR(VLOOKUP(G440,'Costo x Articulo'!$B:$E,4,0)*J440,0)</f>
        <v>0</v>
      </c>
      <c r="L440" s="14">
        <f>IFERROR(VLOOKUP(G440,'Costo x Articulo'!$B:$E,3,0)*J440,0)</f>
        <v>0</v>
      </c>
      <c r="M440" s="14">
        <f t="shared" si="12"/>
        <v>0</v>
      </c>
      <c r="N440" s="1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2.75" customHeight="1">
      <c r="A441" s="2"/>
      <c r="B441" s="14"/>
      <c r="C441" s="15"/>
      <c r="D441" s="25" t="str">
        <f t="shared" si="1"/>
        <v/>
      </c>
      <c r="E441" s="25" t="str">
        <f t="shared" si="2"/>
        <v/>
      </c>
      <c r="F441" s="15"/>
      <c r="G441" s="16"/>
      <c r="H441" s="16" t="str">
        <f>IFERROR(VLOOKUP(G441,'Costo x Articulo'!$B:$C,2,0),"")</f>
        <v/>
      </c>
      <c r="I441" s="16"/>
      <c r="J441" s="14"/>
      <c r="K441" s="14">
        <f>IFERROR(VLOOKUP(G441,'Costo x Articulo'!$B:$E,4,0)*J441,0)</f>
        <v>0</v>
      </c>
      <c r="L441" s="14">
        <f>IFERROR(VLOOKUP(G441,'Costo x Articulo'!$B:$E,3,0)*J441,0)</f>
        <v>0</v>
      </c>
      <c r="M441" s="14">
        <f t="shared" si="12"/>
        <v>0</v>
      </c>
      <c r="N441" s="1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2.75" customHeight="1">
      <c r="A442" s="2"/>
      <c r="B442" s="14"/>
      <c r="C442" s="15"/>
      <c r="D442" s="25" t="str">
        <f t="shared" si="1"/>
        <v/>
      </c>
      <c r="E442" s="25" t="str">
        <f t="shared" si="2"/>
        <v/>
      </c>
      <c r="F442" s="15"/>
      <c r="G442" s="16"/>
      <c r="H442" s="16" t="str">
        <f>IFERROR(VLOOKUP(G442,'Costo x Articulo'!$B:$C,2,0),"")</f>
        <v/>
      </c>
      <c r="I442" s="16"/>
      <c r="J442" s="14"/>
      <c r="K442" s="14">
        <f>IFERROR(VLOOKUP(G442,'Costo x Articulo'!$B:$E,4,0)*J442,0)</f>
        <v>0</v>
      </c>
      <c r="L442" s="14">
        <f>IFERROR(VLOOKUP(G442,'Costo x Articulo'!$B:$E,3,0)*J442,0)</f>
        <v>0</v>
      </c>
      <c r="M442" s="14">
        <f t="shared" si="12"/>
        <v>0</v>
      </c>
      <c r="N442" s="1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2.75" customHeight="1">
      <c r="A443" s="2"/>
      <c r="B443" s="14"/>
      <c r="C443" s="15"/>
      <c r="D443" s="25" t="str">
        <f t="shared" si="1"/>
        <v/>
      </c>
      <c r="E443" s="25" t="str">
        <f t="shared" si="2"/>
        <v/>
      </c>
      <c r="F443" s="15"/>
      <c r="G443" s="16"/>
      <c r="H443" s="16" t="str">
        <f>IFERROR(VLOOKUP(G443,'Costo x Articulo'!$B:$C,2,0),"")</f>
        <v/>
      </c>
      <c r="I443" s="16"/>
      <c r="J443" s="14"/>
      <c r="K443" s="14">
        <f>IFERROR(VLOOKUP(G443,'Costo x Articulo'!$B:$E,4,0)*J443,0)</f>
        <v>0</v>
      </c>
      <c r="L443" s="14">
        <f>IFERROR(VLOOKUP(G443,'Costo x Articulo'!$B:$E,3,0)*J443,0)</f>
        <v>0</v>
      </c>
      <c r="M443" s="14">
        <f t="shared" si="12"/>
        <v>0</v>
      </c>
      <c r="N443" s="1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2.75" customHeight="1">
      <c r="A444" s="2"/>
      <c r="B444" s="14"/>
      <c r="C444" s="15"/>
      <c r="D444" s="25" t="str">
        <f t="shared" si="1"/>
        <v/>
      </c>
      <c r="E444" s="25" t="str">
        <f t="shared" si="2"/>
        <v/>
      </c>
      <c r="F444" s="15"/>
      <c r="G444" s="16"/>
      <c r="H444" s="16" t="str">
        <f>IFERROR(VLOOKUP(G444,'Costo x Articulo'!$B:$C,2,0),"")</f>
        <v/>
      </c>
      <c r="I444" s="16"/>
      <c r="J444" s="14"/>
      <c r="K444" s="14">
        <f>IFERROR(VLOOKUP(G444,'Costo x Articulo'!$B:$E,4,0)*J444,0)</f>
        <v>0</v>
      </c>
      <c r="L444" s="14">
        <f>IFERROR(VLOOKUP(G444,'Costo x Articulo'!$B:$E,3,0)*J444,0)</f>
        <v>0</v>
      </c>
      <c r="M444" s="14">
        <f t="shared" si="12"/>
        <v>0</v>
      </c>
      <c r="N444" s="1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2.75" customHeight="1">
      <c r="A445" s="2"/>
      <c r="B445" s="14"/>
      <c r="C445" s="15"/>
      <c r="D445" s="25" t="str">
        <f t="shared" si="1"/>
        <v/>
      </c>
      <c r="E445" s="25" t="str">
        <f t="shared" si="2"/>
        <v/>
      </c>
      <c r="F445" s="15"/>
      <c r="G445" s="16"/>
      <c r="H445" s="16" t="str">
        <f>IFERROR(VLOOKUP(G445,'Costo x Articulo'!$B:$C,2,0),"")</f>
        <v/>
      </c>
      <c r="I445" s="16"/>
      <c r="J445" s="14"/>
      <c r="K445" s="14">
        <f>IFERROR(VLOOKUP(G445,'Costo x Articulo'!$B:$E,4,0)*J445,0)</f>
        <v>0</v>
      </c>
      <c r="L445" s="14">
        <f>IFERROR(VLOOKUP(G445,'Costo x Articulo'!$B:$E,3,0)*J445,0)</f>
        <v>0</v>
      </c>
      <c r="M445" s="14">
        <f t="shared" si="12"/>
        <v>0</v>
      </c>
      <c r="N445" s="1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2.75" customHeight="1">
      <c r="A446" s="2"/>
      <c r="B446" s="14"/>
      <c r="C446" s="15"/>
      <c r="D446" s="25" t="str">
        <f t="shared" si="1"/>
        <v/>
      </c>
      <c r="E446" s="25" t="str">
        <f t="shared" si="2"/>
        <v/>
      </c>
      <c r="F446" s="15"/>
      <c r="G446" s="16"/>
      <c r="H446" s="16" t="str">
        <f>IFERROR(VLOOKUP(G446,'Costo x Articulo'!$B:$C,2,0),"")</f>
        <v/>
      </c>
      <c r="I446" s="16"/>
      <c r="J446" s="14"/>
      <c r="K446" s="14">
        <f>IFERROR(VLOOKUP(G446,'Costo x Articulo'!$B:$E,4,0)*J446,0)</f>
        <v>0</v>
      </c>
      <c r="L446" s="14">
        <f>IFERROR(VLOOKUP(G446,'Costo x Articulo'!$B:$E,3,0)*J446,0)</f>
        <v>0</v>
      </c>
      <c r="M446" s="14">
        <f t="shared" si="12"/>
        <v>0</v>
      </c>
      <c r="N446" s="1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2.75" customHeight="1">
      <c r="A447" s="2"/>
      <c r="B447" s="14"/>
      <c r="C447" s="15"/>
      <c r="D447" s="25" t="str">
        <f t="shared" si="1"/>
        <v/>
      </c>
      <c r="E447" s="25" t="str">
        <f t="shared" si="2"/>
        <v/>
      </c>
      <c r="F447" s="15"/>
      <c r="G447" s="16"/>
      <c r="H447" s="16" t="str">
        <f>IFERROR(VLOOKUP(G447,'Costo x Articulo'!$B:$C,2,0),"")</f>
        <v/>
      </c>
      <c r="I447" s="16"/>
      <c r="J447" s="14"/>
      <c r="K447" s="14">
        <f>IFERROR(VLOOKUP(G447,'Costo x Articulo'!$B:$E,4,0)*J447,0)</f>
        <v>0</v>
      </c>
      <c r="L447" s="14">
        <f>IFERROR(VLOOKUP(G447,'Costo x Articulo'!$B:$E,3,0)*J447,0)</f>
        <v>0</v>
      </c>
      <c r="M447" s="14">
        <f t="shared" si="12"/>
        <v>0</v>
      </c>
      <c r="N447" s="1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2.75" customHeight="1">
      <c r="A448" s="2"/>
      <c r="B448" s="14"/>
      <c r="C448" s="15"/>
      <c r="D448" s="25" t="str">
        <f t="shared" si="1"/>
        <v/>
      </c>
      <c r="E448" s="25" t="str">
        <f t="shared" si="2"/>
        <v/>
      </c>
      <c r="F448" s="15"/>
      <c r="G448" s="16"/>
      <c r="H448" s="16" t="str">
        <f>IFERROR(VLOOKUP(G448,'Costo x Articulo'!$B:$C,2,0),"")</f>
        <v/>
      </c>
      <c r="I448" s="16"/>
      <c r="J448" s="14"/>
      <c r="K448" s="14">
        <f>IFERROR(VLOOKUP(G448,'Costo x Articulo'!$B:$E,4,0)*J448,0)</f>
        <v>0</v>
      </c>
      <c r="L448" s="14">
        <f>IFERROR(VLOOKUP(G448,'Costo x Articulo'!$B:$E,3,0)*J448,0)</f>
        <v>0</v>
      </c>
      <c r="M448" s="14">
        <f t="shared" si="12"/>
        <v>0</v>
      </c>
      <c r="N448" s="1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2.75" customHeight="1">
      <c r="A449" s="2"/>
      <c r="B449" s="14"/>
      <c r="C449" s="15"/>
      <c r="D449" s="25" t="str">
        <f t="shared" si="1"/>
        <v/>
      </c>
      <c r="E449" s="25" t="str">
        <f t="shared" si="2"/>
        <v/>
      </c>
      <c r="F449" s="15"/>
      <c r="G449" s="16"/>
      <c r="H449" s="16" t="str">
        <f>IFERROR(VLOOKUP(G449,'Costo x Articulo'!$B:$C,2,0),"")</f>
        <v/>
      </c>
      <c r="I449" s="16"/>
      <c r="J449" s="14"/>
      <c r="K449" s="14">
        <f>IFERROR(VLOOKUP(G449,'Costo x Articulo'!$B:$E,4,0)*J449,0)</f>
        <v>0</v>
      </c>
      <c r="L449" s="14">
        <f>IFERROR(VLOOKUP(G449,'Costo x Articulo'!$B:$E,3,0)*J449,0)</f>
        <v>0</v>
      </c>
      <c r="M449" s="14">
        <f t="shared" si="12"/>
        <v>0</v>
      </c>
      <c r="N449" s="1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2.75" customHeight="1">
      <c r="A450" s="2"/>
      <c r="B450" s="14"/>
      <c r="C450" s="15"/>
      <c r="D450" s="25" t="str">
        <f t="shared" si="1"/>
        <v/>
      </c>
      <c r="E450" s="25" t="str">
        <f t="shared" si="2"/>
        <v/>
      </c>
      <c r="F450" s="15"/>
      <c r="G450" s="16"/>
      <c r="H450" s="16" t="str">
        <f>IFERROR(VLOOKUP(G450,'Costo x Articulo'!$B:$C,2,0),"")</f>
        <v/>
      </c>
      <c r="I450" s="16"/>
      <c r="J450" s="14"/>
      <c r="K450" s="14">
        <f>IFERROR(VLOOKUP(G450,'Costo x Articulo'!$B:$E,4,0)*J450,0)</f>
        <v>0</v>
      </c>
      <c r="L450" s="14">
        <f>IFERROR(VLOOKUP(G450,'Costo x Articulo'!$B:$E,3,0)*J450,0)</f>
        <v>0</v>
      </c>
      <c r="M450" s="14">
        <f t="shared" si="12"/>
        <v>0</v>
      </c>
      <c r="N450" s="1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2.75" customHeight="1">
      <c r="A451" s="2"/>
      <c r="B451" s="14"/>
      <c r="C451" s="15"/>
      <c r="D451" s="25" t="str">
        <f t="shared" si="1"/>
        <v/>
      </c>
      <c r="E451" s="25" t="str">
        <f t="shared" si="2"/>
        <v/>
      </c>
      <c r="F451" s="15"/>
      <c r="G451" s="16"/>
      <c r="H451" s="16" t="str">
        <f>IFERROR(VLOOKUP(G451,'Costo x Articulo'!$B:$C,2,0),"")</f>
        <v/>
      </c>
      <c r="I451" s="16"/>
      <c r="J451" s="14"/>
      <c r="K451" s="14">
        <f>IFERROR(VLOOKUP(G451,'Costo x Articulo'!$B:$E,4,0)*J451,0)</f>
        <v>0</v>
      </c>
      <c r="L451" s="14">
        <f>IFERROR(VLOOKUP(G451,'Costo x Articulo'!$B:$E,3,0)*J451,0)</f>
        <v>0</v>
      </c>
      <c r="M451" s="14">
        <f t="shared" si="12"/>
        <v>0</v>
      </c>
      <c r="N451" s="1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2.75" customHeight="1">
      <c r="A452" s="2"/>
      <c r="B452" s="14"/>
      <c r="C452" s="15"/>
      <c r="D452" s="25" t="str">
        <f t="shared" si="1"/>
        <v/>
      </c>
      <c r="E452" s="25" t="str">
        <f t="shared" si="2"/>
        <v/>
      </c>
      <c r="F452" s="15"/>
      <c r="G452" s="16"/>
      <c r="H452" s="16" t="str">
        <f>IFERROR(VLOOKUP(G452,'Costo x Articulo'!$B:$C,2,0),"")</f>
        <v/>
      </c>
      <c r="I452" s="16"/>
      <c r="J452" s="14"/>
      <c r="K452" s="14">
        <f>IFERROR(VLOOKUP(G452,'Costo x Articulo'!$B:$E,4,0)*J452,0)</f>
        <v>0</v>
      </c>
      <c r="L452" s="14">
        <f>IFERROR(VLOOKUP(G452,'Costo x Articulo'!$B:$E,3,0)*J452,0)</f>
        <v>0</v>
      </c>
      <c r="M452" s="14">
        <f t="shared" si="12"/>
        <v>0</v>
      </c>
      <c r="N452" s="1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2.75" customHeight="1">
      <c r="A453" s="2"/>
      <c r="B453" s="14"/>
      <c r="C453" s="15"/>
      <c r="D453" s="25" t="str">
        <f t="shared" si="1"/>
        <v/>
      </c>
      <c r="E453" s="25" t="str">
        <f t="shared" si="2"/>
        <v/>
      </c>
      <c r="F453" s="15"/>
      <c r="G453" s="16"/>
      <c r="H453" s="16" t="str">
        <f>IFERROR(VLOOKUP(G453,'Costo x Articulo'!$B:$C,2,0),"")</f>
        <v/>
      </c>
      <c r="I453" s="16"/>
      <c r="J453" s="14"/>
      <c r="K453" s="14">
        <f>IFERROR(VLOOKUP(G453,'Costo x Articulo'!$B:$E,4,0)*J453,0)</f>
        <v>0</v>
      </c>
      <c r="L453" s="14">
        <f>IFERROR(VLOOKUP(G453,'Costo x Articulo'!$B:$E,3,0)*J453,0)</f>
        <v>0</v>
      </c>
      <c r="M453" s="14">
        <f t="shared" si="12"/>
        <v>0</v>
      </c>
      <c r="N453" s="1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2.75" customHeight="1">
      <c r="A454" s="2"/>
      <c r="B454" s="14"/>
      <c r="C454" s="15"/>
      <c r="D454" s="25" t="str">
        <f t="shared" si="1"/>
        <v/>
      </c>
      <c r="E454" s="25" t="str">
        <f t="shared" si="2"/>
        <v/>
      </c>
      <c r="F454" s="15"/>
      <c r="G454" s="16"/>
      <c r="H454" s="16" t="str">
        <f>IFERROR(VLOOKUP(G454,'Costo x Articulo'!$B:$C,2,0),"")</f>
        <v/>
      </c>
      <c r="I454" s="16"/>
      <c r="J454" s="14"/>
      <c r="K454" s="14">
        <f>IFERROR(VLOOKUP(G454,'Costo x Articulo'!$B:$E,4,0)*J454,0)</f>
        <v>0</v>
      </c>
      <c r="L454" s="14">
        <f>IFERROR(VLOOKUP(G454,'Costo x Articulo'!$B:$E,3,0)*J454,0)</f>
        <v>0</v>
      </c>
      <c r="M454" s="14">
        <f t="shared" si="12"/>
        <v>0</v>
      </c>
      <c r="N454" s="1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2.75" customHeight="1">
      <c r="A455" s="2"/>
      <c r="B455" s="14"/>
      <c r="C455" s="15"/>
      <c r="D455" s="25" t="str">
        <f t="shared" si="1"/>
        <v/>
      </c>
      <c r="E455" s="25" t="str">
        <f t="shared" si="2"/>
        <v/>
      </c>
      <c r="F455" s="15"/>
      <c r="G455" s="16"/>
      <c r="H455" s="16" t="str">
        <f>IFERROR(VLOOKUP(G455,'Costo x Articulo'!$B:$C,2,0),"")</f>
        <v/>
      </c>
      <c r="I455" s="16"/>
      <c r="J455" s="14"/>
      <c r="K455" s="14">
        <f>IFERROR(VLOOKUP(G455,'Costo x Articulo'!$B:$E,4,0)*J455,0)</f>
        <v>0</v>
      </c>
      <c r="L455" s="14">
        <f>IFERROR(VLOOKUP(G455,'Costo x Articulo'!$B:$E,3,0)*J455,0)</f>
        <v>0</v>
      </c>
      <c r="M455" s="14">
        <f t="shared" si="12"/>
        <v>0</v>
      </c>
      <c r="N455" s="1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2.75" customHeight="1">
      <c r="A456" s="2"/>
      <c r="B456" s="14"/>
      <c r="C456" s="15"/>
      <c r="D456" s="25" t="str">
        <f t="shared" si="1"/>
        <v/>
      </c>
      <c r="E456" s="25" t="str">
        <f t="shared" si="2"/>
        <v/>
      </c>
      <c r="F456" s="15"/>
      <c r="G456" s="16"/>
      <c r="H456" s="16" t="str">
        <f>IFERROR(VLOOKUP(G456,'Costo x Articulo'!$B:$C,2,0),"")</f>
        <v/>
      </c>
      <c r="I456" s="16"/>
      <c r="J456" s="14"/>
      <c r="K456" s="14">
        <f>IFERROR(VLOOKUP(G456,'Costo x Articulo'!$B:$E,4,0)*J456,0)</f>
        <v>0</v>
      </c>
      <c r="L456" s="14">
        <f>IFERROR(VLOOKUP(G456,'Costo x Articulo'!$B:$E,3,0)*J456,0)</f>
        <v>0</v>
      </c>
      <c r="M456" s="14">
        <f t="shared" si="12"/>
        <v>0</v>
      </c>
      <c r="N456" s="1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2.75" customHeight="1">
      <c r="A457" s="2"/>
      <c r="B457" s="14"/>
      <c r="C457" s="15"/>
      <c r="D457" s="25" t="str">
        <f t="shared" si="1"/>
        <v/>
      </c>
      <c r="E457" s="25" t="str">
        <f t="shared" si="2"/>
        <v/>
      </c>
      <c r="F457" s="15"/>
      <c r="G457" s="16"/>
      <c r="H457" s="16" t="str">
        <f>IFERROR(VLOOKUP(G457,'Costo x Articulo'!$B:$C,2,0),"")</f>
        <v/>
      </c>
      <c r="I457" s="16"/>
      <c r="J457" s="14"/>
      <c r="K457" s="14">
        <f>IFERROR(VLOOKUP(G457,'Costo x Articulo'!$B:$E,4,0)*J457,0)</f>
        <v>0</v>
      </c>
      <c r="L457" s="14">
        <f>IFERROR(VLOOKUP(G457,'Costo x Articulo'!$B:$E,3,0)*J457,0)</f>
        <v>0</v>
      </c>
      <c r="M457" s="14">
        <f t="shared" si="12"/>
        <v>0</v>
      </c>
      <c r="N457" s="1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2.75" customHeight="1">
      <c r="A458" s="2"/>
      <c r="B458" s="14"/>
      <c r="C458" s="15"/>
      <c r="D458" s="25" t="str">
        <f t="shared" si="1"/>
        <v/>
      </c>
      <c r="E458" s="25" t="str">
        <f t="shared" si="2"/>
        <v/>
      </c>
      <c r="F458" s="15"/>
      <c r="G458" s="16"/>
      <c r="H458" s="16" t="str">
        <f>IFERROR(VLOOKUP(G458,'Costo x Articulo'!$B:$C,2,0),"")</f>
        <v/>
      </c>
      <c r="I458" s="16"/>
      <c r="J458" s="14"/>
      <c r="K458" s="14">
        <f>IFERROR(VLOOKUP(G458,'Costo x Articulo'!$B:$E,4,0)*J458,0)</f>
        <v>0</v>
      </c>
      <c r="L458" s="14">
        <f>IFERROR(VLOOKUP(G458,'Costo x Articulo'!$B:$E,3,0)*J458,0)</f>
        <v>0</v>
      </c>
      <c r="M458" s="14">
        <f t="shared" si="12"/>
        <v>0</v>
      </c>
      <c r="N458" s="1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2.75" customHeight="1">
      <c r="A459" s="2"/>
      <c r="B459" s="31"/>
      <c r="C459" s="32"/>
      <c r="D459" s="33" t="str">
        <f t="shared" si="1"/>
        <v/>
      </c>
      <c r="E459" s="33" t="str">
        <f t="shared" si="2"/>
        <v/>
      </c>
      <c r="F459" s="32"/>
      <c r="G459" s="34"/>
      <c r="H459" s="34" t="str">
        <f>IFERROR(VLOOKUP(G459,'Costo x Articulo'!$B:$C,2,0),"")</f>
        <v/>
      </c>
      <c r="I459" s="34"/>
      <c r="J459" s="31"/>
      <c r="K459" s="31">
        <f>IFERROR(VLOOKUP(G459,'Costo x Articulo'!$B:$E,4,0)*J459,0)</f>
        <v>0</v>
      </c>
      <c r="L459" s="31">
        <f>IFERROR(VLOOKUP(G459,'Costo x Articulo'!$B:$E,3,0)*J459,0)</f>
        <v>0</v>
      </c>
      <c r="M459" s="31">
        <f t="shared" si="12"/>
        <v>0</v>
      </c>
      <c r="N459" s="34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2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2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2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2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2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2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2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2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2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2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2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2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2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2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2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2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2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2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2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2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2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2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2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2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2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2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2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2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2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2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2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2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2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2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2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2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2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2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2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2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2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2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2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2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2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2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2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2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2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2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2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2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2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2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2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2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2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2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2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2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2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2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2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2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2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2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2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2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2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2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2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2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2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2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2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2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2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2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2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2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2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2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2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2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2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2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2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2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2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2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2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2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2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2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2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2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2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2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2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2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2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2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2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2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2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2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2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2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2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2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2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2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2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2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2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2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2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2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2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2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2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2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2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2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2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2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2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2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2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2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2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2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2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2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2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2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2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2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2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2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2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2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2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2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2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2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2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2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2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2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2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2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2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2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2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2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2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2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2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2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2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2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2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2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2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2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2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2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2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B629" s="2"/>
      <c r="C629" s="35"/>
    </row>
    <row r="630" ht="15.75" customHeight="1">
      <c r="C630" s="35"/>
    </row>
    <row r="631" ht="15.75" customHeight="1">
      <c r="C631" s="35"/>
    </row>
    <row r="632" ht="15.75" customHeight="1">
      <c r="C632" s="35"/>
    </row>
    <row r="633" ht="15.75" customHeight="1">
      <c r="C633" s="35"/>
    </row>
    <row r="634" ht="15.75" customHeight="1">
      <c r="C634" s="35"/>
    </row>
    <row r="635" ht="15.75" customHeight="1">
      <c r="C635" s="35"/>
    </row>
    <row r="636" ht="15.75" customHeight="1">
      <c r="C636" s="35"/>
    </row>
    <row r="637" ht="15.75" customHeight="1">
      <c r="C637" s="35"/>
    </row>
    <row r="638" ht="15.75" customHeight="1">
      <c r="C638" s="35"/>
    </row>
    <row r="639" ht="15.75" customHeight="1">
      <c r="C639" s="35"/>
    </row>
    <row r="640" ht="15.75" customHeight="1">
      <c r="C640" s="35"/>
    </row>
    <row r="641" ht="15.75" customHeight="1">
      <c r="C641" s="35"/>
    </row>
    <row r="642" ht="15.75" customHeight="1">
      <c r="C642" s="35"/>
    </row>
    <row r="643" ht="15.75" customHeight="1">
      <c r="C643" s="35"/>
    </row>
    <row r="644" ht="15.75" customHeight="1">
      <c r="C644" s="35"/>
    </row>
    <row r="645" ht="15.75" customHeight="1">
      <c r="C645" s="35"/>
    </row>
    <row r="646" ht="15.75" customHeight="1">
      <c r="C646" s="35"/>
    </row>
    <row r="647" ht="15.75" customHeight="1">
      <c r="C647" s="35"/>
    </row>
    <row r="648" ht="15.75" customHeight="1">
      <c r="C648" s="35"/>
    </row>
    <row r="649" ht="15.75" customHeight="1">
      <c r="C649" s="35"/>
    </row>
    <row r="650" ht="15.75" customHeight="1">
      <c r="C650" s="35"/>
    </row>
    <row r="651" ht="15.75" customHeight="1">
      <c r="C651" s="35"/>
    </row>
    <row r="652" ht="15.75" customHeight="1">
      <c r="C652" s="35"/>
    </row>
    <row r="653" ht="15.75" customHeight="1">
      <c r="C653" s="35"/>
    </row>
    <row r="654" ht="15.75" customHeight="1">
      <c r="C654" s="35"/>
    </row>
    <row r="655" ht="15.75" customHeight="1">
      <c r="C655" s="35"/>
    </row>
    <row r="656" ht="15.75" customHeight="1">
      <c r="C656" s="35"/>
    </row>
    <row r="657" ht="15.75" customHeight="1">
      <c r="C657" s="35"/>
    </row>
    <row r="658" ht="15.75" customHeight="1">
      <c r="C658" s="35"/>
    </row>
    <row r="659" ht="15.75" customHeight="1">
      <c r="C659" s="35"/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3:$AD$65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/>
  <cols>
    <col customWidth="1" min="1" max="1" width="8.63"/>
    <col customWidth="1" min="2" max="2" width="25.63"/>
    <col customWidth="1" min="3" max="3" width="10.13"/>
    <col customWidth="1" min="4" max="4" width="8.63"/>
    <col customWidth="1" min="5" max="5" width="2.38"/>
    <col customWidth="1" hidden="1" min="6" max="6" width="10.13" outlineLevel="1"/>
    <col customWidth="1" hidden="1" min="7" max="8" width="8.63" outlineLevel="1"/>
    <col collapsed="1" customWidth="1" min="9" max="9" width="8.63"/>
    <col customWidth="1" min="10" max="27" width="8.63"/>
  </cols>
  <sheetData>
    <row r="1" ht="12.0" customHeight="1">
      <c r="A1" s="36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ht="12.0" customHeight="1">
      <c r="A2" s="36"/>
      <c r="B2" s="38" t="s">
        <v>356</v>
      </c>
      <c r="C2" s="38" t="s">
        <v>357</v>
      </c>
      <c r="D2" s="38" t="s">
        <v>358</v>
      </c>
      <c r="E2" s="37"/>
      <c r="F2" s="38" t="s">
        <v>359</v>
      </c>
      <c r="G2" s="38" t="s">
        <v>360</v>
      </c>
      <c r="H2" s="38" t="s">
        <v>361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ht="12.0" customHeight="1">
      <c r="A3" s="39"/>
      <c r="B3" s="40" t="s">
        <v>362</v>
      </c>
      <c r="C3" s="41">
        <v>12.0</v>
      </c>
      <c r="D3" s="42">
        <v>9000.0</v>
      </c>
      <c r="E3" s="37"/>
      <c r="F3" s="43">
        <f>VLOOKUP(B3,'Costo x Articulo'!$C$3:$G$153,5,0)</f>
        <v>3643.166667</v>
      </c>
      <c r="G3" s="42">
        <f t="shared" ref="G3:G21" si="1">D3-F3</f>
        <v>5356.833333</v>
      </c>
      <c r="H3" s="44">
        <f t="shared" ref="H3:H21" si="2">G3/F3</f>
        <v>1.470378334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ht="12.0" customHeight="1">
      <c r="A4" s="37"/>
      <c r="B4" s="45" t="s">
        <v>363</v>
      </c>
      <c r="C4" s="46">
        <v>10.0</v>
      </c>
      <c r="D4" s="47">
        <v>14000.0</v>
      </c>
      <c r="E4" s="37"/>
      <c r="F4" s="48">
        <f>VLOOKUP(B4,'Costo x Articulo'!$C$3:$G$153,5,0)</f>
        <v>6604.733333</v>
      </c>
      <c r="G4" s="47">
        <f t="shared" si="1"/>
        <v>7395.266667</v>
      </c>
      <c r="H4" s="49">
        <f t="shared" si="2"/>
        <v>1.119691938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ht="12.0" customHeight="1">
      <c r="A5" s="37"/>
      <c r="B5" s="45" t="s">
        <v>364</v>
      </c>
      <c r="C5" s="46">
        <v>10.0</v>
      </c>
      <c r="D5" s="47">
        <v>12000.0</v>
      </c>
      <c r="E5" s="37"/>
      <c r="F5" s="48">
        <f>VLOOKUP(B5,'Costo x Articulo'!$C$3:$G$153,5,0)</f>
        <v>5558.066667</v>
      </c>
      <c r="G5" s="47">
        <f t="shared" si="1"/>
        <v>6441.933333</v>
      </c>
      <c r="H5" s="49">
        <f t="shared" si="2"/>
        <v>1.159024121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ht="12.0" customHeight="1">
      <c r="A6" s="37"/>
      <c r="B6" s="45" t="s">
        <v>365</v>
      </c>
      <c r="C6" s="46">
        <v>8.0</v>
      </c>
      <c r="D6" s="47">
        <v>14500.0</v>
      </c>
      <c r="E6" s="37"/>
      <c r="F6" s="48">
        <f>VLOOKUP(B6,'Costo x Articulo'!$C$3:$G$153,5,0)</f>
        <v>5555.952381</v>
      </c>
      <c r="G6" s="47">
        <f t="shared" si="1"/>
        <v>8944.047619</v>
      </c>
      <c r="H6" s="49">
        <f t="shared" si="2"/>
        <v>1.609813585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ht="12.0" customHeight="1">
      <c r="A7" s="37"/>
      <c r="B7" s="45" t="s">
        <v>366</v>
      </c>
      <c r="C7" s="46">
        <v>1.0</v>
      </c>
      <c r="D7" s="47">
        <v>2900.0</v>
      </c>
      <c r="E7" s="37"/>
      <c r="F7" s="48">
        <f>F6/6</f>
        <v>925.9920635</v>
      </c>
      <c r="G7" s="47">
        <f t="shared" si="1"/>
        <v>1974.007937</v>
      </c>
      <c r="H7" s="49">
        <f t="shared" si="2"/>
        <v>2.131776302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ht="12.0" customHeight="1">
      <c r="A8" s="37"/>
      <c r="B8" s="45" t="s">
        <v>367</v>
      </c>
      <c r="C8" s="46">
        <v>8.0</v>
      </c>
      <c r="D8" s="47">
        <v>26000.0</v>
      </c>
      <c r="E8" s="37"/>
      <c r="F8" s="48">
        <f>VLOOKUP(B8,'Costo x Articulo'!$C$3:$G$153,5,0)</f>
        <v>15249.93184</v>
      </c>
      <c r="G8" s="47">
        <f t="shared" si="1"/>
        <v>10750.06816</v>
      </c>
      <c r="H8" s="49">
        <f t="shared" si="2"/>
        <v>0.704925653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ht="12.0" customHeight="1">
      <c r="A9" s="37"/>
      <c r="B9" s="45" t="s">
        <v>368</v>
      </c>
      <c r="C9" s="46">
        <v>1.0</v>
      </c>
      <c r="D9" s="47">
        <v>3500.0</v>
      </c>
      <c r="E9" s="37"/>
      <c r="F9" s="48">
        <f>F8/6</f>
        <v>2541.655307</v>
      </c>
      <c r="G9" s="47">
        <f t="shared" si="1"/>
        <v>958.3446934</v>
      </c>
      <c r="H9" s="49">
        <f t="shared" si="2"/>
        <v>0.3770553351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ht="12.0" customHeight="1">
      <c r="A10" s="37"/>
      <c r="B10" s="45" t="s">
        <v>369</v>
      </c>
      <c r="C10" s="46">
        <v>8.0</v>
      </c>
      <c r="D10" s="47">
        <v>25000.0</v>
      </c>
      <c r="E10" s="37"/>
      <c r="F10" s="48">
        <f>VLOOKUP(B10,'Costo x Articulo'!$C$3:$G$153,5,0)</f>
        <v>16903.57143</v>
      </c>
      <c r="G10" s="47">
        <f t="shared" si="1"/>
        <v>8096.428571</v>
      </c>
      <c r="H10" s="49">
        <f t="shared" si="2"/>
        <v>0.4789773928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ht="12.0" customHeight="1">
      <c r="A11" s="37"/>
      <c r="B11" s="45" t="s">
        <v>370</v>
      </c>
      <c r="C11" s="46">
        <v>1.0</v>
      </c>
      <c r="D11" s="47">
        <v>3500.0</v>
      </c>
      <c r="E11" s="37"/>
      <c r="F11" s="48">
        <f>F10/6</f>
        <v>2817.261905</v>
      </c>
      <c r="G11" s="47">
        <f t="shared" si="1"/>
        <v>682.7380952</v>
      </c>
      <c r="H11" s="49">
        <f t="shared" si="2"/>
        <v>0.2423410099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ht="12.0" customHeight="1">
      <c r="A12" s="37"/>
      <c r="B12" s="45" t="s">
        <v>371</v>
      </c>
      <c r="C12" s="46">
        <v>15.0</v>
      </c>
      <c r="D12" s="47">
        <v>6000.0</v>
      </c>
      <c r="E12" s="37"/>
      <c r="F12" s="48">
        <f>VLOOKUP(B12,'Costo x Articulo'!$C$3:$G$153,5,0)</f>
        <v>2411.126667</v>
      </c>
      <c r="G12" s="47">
        <f t="shared" si="1"/>
        <v>3588.873333</v>
      </c>
      <c r="H12" s="49">
        <f t="shared" si="2"/>
        <v>1.488463208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ht="12.0" customHeight="1">
      <c r="A13" s="37"/>
      <c r="B13" s="45" t="s">
        <v>372</v>
      </c>
      <c r="C13" s="46">
        <v>8.0</v>
      </c>
      <c r="D13" s="47">
        <v>24000.0</v>
      </c>
      <c r="E13" s="37"/>
      <c r="F13" s="48">
        <f>VLOOKUP(B13,'Costo x Articulo'!$C$3:$G$153,5,0)</f>
        <v>17915</v>
      </c>
      <c r="G13" s="47">
        <f t="shared" si="1"/>
        <v>6085</v>
      </c>
      <c r="H13" s="49">
        <f t="shared" si="2"/>
        <v>0.3396595032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ht="12.0" customHeight="1">
      <c r="A14" s="37"/>
      <c r="B14" s="45" t="s">
        <v>373</v>
      </c>
      <c r="C14" s="46">
        <v>1.0</v>
      </c>
      <c r="D14" s="47">
        <v>3500.0</v>
      </c>
      <c r="E14" s="37"/>
      <c r="F14" s="48">
        <f>F13/6</f>
        <v>2985.833333</v>
      </c>
      <c r="G14" s="47">
        <f t="shared" si="1"/>
        <v>514.1666667</v>
      </c>
      <c r="H14" s="49">
        <f t="shared" si="2"/>
        <v>0.1722020653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ht="12.0" customHeight="1">
      <c r="A15" s="37"/>
      <c r="B15" s="45" t="s">
        <v>374</v>
      </c>
      <c r="C15" s="46">
        <v>8.0</v>
      </c>
      <c r="D15" s="47">
        <v>21000.0</v>
      </c>
      <c r="E15" s="37"/>
      <c r="F15" s="48">
        <f>VLOOKUP(B15,'Costo x Articulo'!$C$3:$G$153,5,0)</f>
        <v>9123.533333</v>
      </c>
      <c r="G15" s="47">
        <f t="shared" si="1"/>
        <v>11876.46667</v>
      </c>
      <c r="H15" s="49">
        <f t="shared" si="2"/>
        <v>1.301739823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ht="12.0" customHeight="1">
      <c r="A16" s="37"/>
      <c r="B16" s="45" t="s">
        <v>375</v>
      </c>
      <c r="C16" s="46">
        <v>1.0</v>
      </c>
      <c r="D16" s="47">
        <v>2700.0</v>
      </c>
      <c r="E16" s="37"/>
      <c r="F16" s="48">
        <f>F15/6</f>
        <v>1520.588889</v>
      </c>
      <c r="G16" s="47">
        <f t="shared" si="1"/>
        <v>1179.411111</v>
      </c>
      <c r="H16" s="49">
        <f t="shared" si="2"/>
        <v>0.7756278635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ht="12.0" customHeight="1">
      <c r="A17" s="37"/>
      <c r="B17" s="45" t="s">
        <v>376</v>
      </c>
      <c r="C17" s="46">
        <v>12.0</v>
      </c>
      <c r="D17" s="47">
        <v>9000.0</v>
      </c>
      <c r="E17" s="37"/>
      <c r="F17" s="48">
        <f>VLOOKUP(B17,'Costo x Articulo'!$C$3:$G$153,5,0)</f>
        <v>3391.133333</v>
      </c>
      <c r="G17" s="47">
        <f t="shared" si="1"/>
        <v>5608.866667</v>
      </c>
      <c r="H17" s="49">
        <f t="shared" si="2"/>
        <v>1.653979987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ht="12.0" customHeight="1">
      <c r="A18" s="37"/>
      <c r="B18" s="45" t="s">
        <v>377</v>
      </c>
      <c r="C18" s="46">
        <v>8.0</v>
      </c>
      <c r="D18" s="47">
        <v>16000.0</v>
      </c>
      <c r="E18" s="37"/>
      <c r="F18" s="48">
        <f>VLOOKUP(B18,'Costo x Articulo'!$C$3:$G$153,5,0)</f>
        <v>6706.116667</v>
      </c>
      <c r="G18" s="47">
        <f t="shared" si="1"/>
        <v>9293.883333</v>
      </c>
      <c r="H18" s="49">
        <f t="shared" si="2"/>
        <v>1.385881546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ht="12.0" customHeight="1">
      <c r="A19" s="37"/>
      <c r="B19" s="45" t="s">
        <v>378</v>
      </c>
      <c r="C19" s="46">
        <v>1.0</v>
      </c>
      <c r="D19" s="47">
        <v>2900.0</v>
      </c>
      <c r="E19" s="37"/>
      <c r="F19" s="48">
        <f>F18/6</f>
        <v>1117.686111</v>
      </c>
      <c r="G19" s="47">
        <f t="shared" si="1"/>
        <v>1782.313889</v>
      </c>
      <c r="H19" s="49">
        <f t="shared" si="2"/>
        <v>1.594646181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ht="12.0" customHeight="1">
      <c r="A20" s="37"/>
      <c r="B20" s="45" t="s">
        <v>379</v>
      </c>
      <c r="C20" s="46">
        <v>8.0</v>
      </c>
      <c r="D20" s="47">
        <v>22000.0</v>
      </c>
      <c r="E20" s="37"/>
      <c r="F20" s="48">
        <f>VLOOKUP(B20,'Costo x Articulo'!$C$3:$G$153,5,0)</f>
        <v>10233.32778</v>
      </c>
      <c r="G20" s="47">
        <f t="shared" si="1"/>
        <v>11766.67222</v>
      </c>
      <c r="H20" s="49">
        <f t="shared" si="2"/>
        <v>1.149838301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ht="12.0" customHeight="1">
      <c r="A21" s="37"/>
      <c r="B21" s="50" t="s">
        <v>380</v>
      </c>
      <c r="C21" s="51">
        <v>1.0</v>
      </c>
      <c r="D21" s="52">
        <v>3000.0</v>
      </c>
      <c r="E21" s="37"/>
      <c r="F21" s="53">
        <f>F20/6</f>
        <v>1705.55463</v>
      </c>
      <c r="G21" s="52">
        <f t="shared" si="1"/>
        <v>1294.44537</v>
      </c>
      <c r="H21" s="54">
        <f t="shared" si="2"/>
        <v>0.7589586096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ht="12.0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ht="12.0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ht="12.0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ht="12.0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ht="12.0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ht="12.0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ht="12.0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ht="12.0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ht="12.0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ht="12.0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ht="12.0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ht="12.0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ht="12.0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ht="12.0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ht="12.0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ht="12.0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ht="12.0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ht="12.0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ht="12.0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ht="12.0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ht="12.0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ht="12.0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ht="12.0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ht="12.0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ht="12.0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ht="12.0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ht="12.0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ht="12.0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ht="12.0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ht="12.0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ht="12.0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ht="12.0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ht="12.0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ht="12.0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ht="12.0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ht="12.0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ht="12.0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ht="12.0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ht="12.0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ht="12.0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ht="12.0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ht="12.0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ht="12.0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ht="12.0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ht="12.0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ht="12.0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ht="12.0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ht="12.0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ht="12.0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ht="12.0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ht="12.0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ht="12.0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ht="12.0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ht="12.0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ht="12.0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ht="12.0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ht="12.0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ht="12.0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ht="12.0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ht="12.0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ht="12.0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ht="12.0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ht="12.0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ht="12.0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ht="12.0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ht="12.0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ht="12.0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ht="12.0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ht="12.0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ht="12.0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ht="12.0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ht="12.0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ht="12.0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ht="12.0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ht="12.0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ht="12.0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ht="12.0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ht="12.0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ht="12.0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ht="12.0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ht="12.0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ht="12.0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ht="12.0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ht="12.0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ht="12.0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ht="12.0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ht="12.0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ht="12.0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ht="12.0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ht="12.0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ht="12.0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ht="12.0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ht="12.0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ht="12.0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ht="12.0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ht="12.0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ht="12.0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ht="12.0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ht="12.0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ht="12.0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ht="12.0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ht="12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ht="12.0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ht="12.0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ht="12.0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ht="12.0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ht="12.0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ht="12.0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ht="12.0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ht="12.0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ht="12.0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ht="12.0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ht="12.0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ht="12.0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ht="12.0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ht="12.0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ht="12.0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ht="12.0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ht="12.0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ht="12.0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ht="12.0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ht="12.0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ht="12.0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ht="12.0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ht="12.0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ht="12.0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ht="12.0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ht="12.0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ht="12.0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ht="12.0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ht="12.0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ht="12.0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ht="12.0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ht="12.0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ht="12.0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ht="12.0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ht="12.0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ht="12.0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ht="12.0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ht="12.0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ht="12.0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ht="12.0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ht="12.0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ht="12.0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ht="12.0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ht="12.0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ht="12.0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ht="12.0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ht="12.0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ht="12.0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ht="12.0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ht="12.0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ht="12.0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ht="12.0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ht="12.0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ht="12.0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ht="12.0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ht="12.0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ht="12.0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ht="12.0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ht="12.0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ht="12.0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ht="12.0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ht="12.0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ht="12.0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ht="12.0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ht="12.0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ht="12.0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ht="12.0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ht="12.0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ht="12.0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ht="12.0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ht="12.0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ht="12.0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ht="12.0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ht="12.0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ht="12.0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ht="12.0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ht="12.0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ht="12.0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ht="12.0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ht="12.0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ht="12.0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ht="12.0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ht="12.0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ht="12.0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ht="12.0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ht="12.0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ht="12.0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ht="12.0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ht="12.0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ht="12.0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ht="12.0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ht="12.0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ht="12.0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ht="12.0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ht="12.0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ht="12.0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ht="12.0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ht="12.0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ht="12.0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ht="12.0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ht="12.0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ht="12.0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ht="12.0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ht="12.0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ht="12.0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ht="12.0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ht="12.0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ht="12.0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ht="12.0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ht="12.0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ht="12.0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ht="12.0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ht="12.0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ht="12.0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ht="12.0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ht="12.0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ht="12.0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ht="12.0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ht="12.0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ht="12.0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ht="12.0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ht="12.0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ht="12.0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ht="12.0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ht="12.0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ht="12.0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ht="12.0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ht="12.0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ht="12.0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ht="12.0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ht="12.0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ht="12.0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ht="12.0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ht="12.0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ht="12.0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ht="12.0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ht="12.0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ht="12.0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ht="12.0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ht="12.0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ht="12.0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ht="12.0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ht="12.0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ht="12.0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ht="12.0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ht="12.0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ht="12.0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ht="12.0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ht="12.0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ht="12.0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ht="12.0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ht="12.0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ht="12.0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ht="12.0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ht="12.0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ht="12.0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ht="12.0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ht="12.0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ht="12.0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ht="12.0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ht="12.0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ht="12.0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ht="12.0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ht="12.0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ht="12.0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ht="12.0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ht="12.0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ht="12.0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ht="12.0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ht="12.0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ht="12.0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ht="12.0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ht="12.0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ht="12.0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ht="12.0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ht="12.0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ht="12.0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ht="12.0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ht="12.0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ht="12.0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ht="12.0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ht="12.0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ht="12.0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ht="12.0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ht="12.0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ht="12.0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ht="12.0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ht="12.0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ht="12.0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ht="12.0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ht="12.0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ht="12.0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ht="12.0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ht="12.0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ht="12.0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ht="12.0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ht="12.0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ht="12.0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ht="12.0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ht="12.0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ht="12.0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ht="12.0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ht="12.0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ht="12.0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ht="12.0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ht="12.0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ht="12.0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ht="12.0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ht="12.0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ht="12.0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ht="12.0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ht="12.0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ht="12.0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ht="12.0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ht="12.0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ht="12.0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ht="12.0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ht="12.0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ht="12.0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ht="12.0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ht="12.0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ht="12.0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ht="12.0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ht="12.0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ht="12.0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ht="12.0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ht="12.0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ht="12.0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ht="12.0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ht="12.0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ht="12.0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ht="12.0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ht="12.0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ht="12.0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ht="12.0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ht="12.0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ht="12.0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ht="12.0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ht="12.0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ht="12.0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ht="12.0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ht="12.0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ht="12.0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ht="12.0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ht="12.0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ht="12.0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ht="12.0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ht="12.0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ht="12.0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ht="12.0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ht="12.0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ht="12.0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ht="12.0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ht="12.0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ht="12.0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ht="12.0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ht="12.0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ht="12.0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ht="12.0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ht="12.0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ht="12.0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ht="12.0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ht="12.0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ht="12.0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ht="12.0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ht="12.0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ht="12.0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ht="12.0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ht="12.0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ht="12.0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ht="12.0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ht="12.0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ht="12.0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ht="12.0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ht="12.0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ht="12.0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ht="12.0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ht="12.0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ht="12.0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ht="12.0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ht="12.0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ht="12.0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ht="12.0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ht="12.0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ht="12.0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ht="12.0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ht="12.0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ht="12.0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ht="12.0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ht="12.0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ht="12.0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ht="12.0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ht="12.0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ht="12.0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ht="12.0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ht="12.0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ht="12.0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ht="12.0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ht="12.0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ht="12.0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ht="12.0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ht="12.0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ht="12.0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ht="12.0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ht="12.0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ht="12.0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ht="12.0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ht="12.0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ht="12.0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ht="12.0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ht="12.0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ht="12.0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ht="12.0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ht="12.0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ht="12.0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ht="12.0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ht="12.0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ht="12.0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ht="12.0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ht="12.0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ht="12.0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ht="12.0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ht="12.0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ht="12.0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ht="12.0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ht="12.0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ht="12.0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ht="12.0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ht="12.0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ht="12.0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ht="12.0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ht="12.0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ht="12.0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ht="12.0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ht="12.0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ht="12.0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ht="12.0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ht="12.0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ht="12.0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ht="12.0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ht="12.0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ht="12.0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ht="12.0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ht="12.0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ht="12.0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ht="12.0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ht="12.0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ht="12.0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ht="12.0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ht="12.0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ht="12.0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ht="12.0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ht="12.0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ht="12.0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ht="12.0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ht="12.0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ht="12.0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ht="12.0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ht="12.0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ht="12.0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ht="12.0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ht="12.0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ht="12.0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ht="12.0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ht="12.0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ht="12.0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ht="12.0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ht="12.0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ht="12.0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ht="12.0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ht="12.0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ht="12.0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ht="12.0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ht="12.0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ht="12.0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ht="12.0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ht="12.0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ht="12.0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ht="12.0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ht="12.0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ht="12.0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ht="12.0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ht="12.0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ht="12.0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ht="12.0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ht="12.0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ht="12.0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ht="12.0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ht="12.0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ht="12.0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ht="12.0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ht="12.0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ht="12.0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ht="12.0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ht="12.0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ht="12.0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ht="12.0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ht="12.0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ht="12.0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ht="12.0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ht="12.0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ht="12.0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ht="12.0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ht="12.0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ht="12.0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ht="12.0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ht="12.0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ht="12.0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ht="12.0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ht="12.0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ht="12.0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ht="12.0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ht="12.0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ht="12.0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ht="12.0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ht="12.0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ht="12.0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ht="12.0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ht="12.0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ht="12.0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ht="12.0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ht="12.0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ht="12.0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ht="12.0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ht="12.0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ht="12.0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ht="12.0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ht="12.0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ht="12.0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ht="12.0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ht="12.0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ht="12.0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ht="12.0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ht="12.0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ht="12.0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ht="12.0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ht="12.0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ht="12.0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ht="12.0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ht="12.0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ht="12.0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ht="12.0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ht="12.0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ht="12.0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ht="12.0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ht="12.0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ht="12.0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ht="12.0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ht="12.0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ht="12.0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ht="12.0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ht="12.0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ht="12.0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ht="12.0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ht="12.0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ht="12.0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ht="12.0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ht="12.0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ht="12.0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ht="12.0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ht="12.0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ht="12.0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ht="12.0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ht="12.0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ht="12.0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ht="12.0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ht="12.0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ht="12.0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ht="12.0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ht="12.0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ht="12.0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ht="12.0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ht="12.0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ht="12.0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ht="12.0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ht="12.0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ht="12.0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ht="12.0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ht="12.0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ht="12.0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ht="12.0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ht="12.0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ht="12.0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ht="12.0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ht="12.0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ht="12.0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ht="12.0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ht="12.0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ht="12.0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ht="12.0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ht="12.0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ht="12.0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ht="12.0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ht="12.0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ht="12.0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ht="12.0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ht="12.0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ht="12.0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ht="12.0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ht="12.0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ht="12.0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ht="12.0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ht="12.0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ht="12.0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ht="12.0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ht="12.0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ht="12.0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ht="12.0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ht="12.0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ht="12.0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ht="12.0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ht="12.0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ht="12.0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ht="12.0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ht="12.0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ht="12.0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ht="12.0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ht="12.0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ht="12.0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ht="12.0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ht="12.0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ht="12.0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ht="12.0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ht="12.0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ht="12.0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ht="12.0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ht="12.0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ht="12.0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ht="12.0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ht="12.0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ht="12.0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ht="12.0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ht="12.0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ht="12.0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ht="12.0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ht="12.0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ht="12.0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ht="12.0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ht="12.0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ht="12.0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ht="12.0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ht="12.0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ht="12.0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ht="12.0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ht="12.0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ht="12.0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ht="12.0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ht="12.0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ht="12.0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ht="12.0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ht="12.0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ht="12.0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ht="12.0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ht="12.0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ht="12.0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ht="12.0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ht="12.0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ht="12.0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ht="12.0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ht="12.0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ht="12.0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ht="12.0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ht="12.0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ht="12.0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ht="12.0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ht="12.0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ht="12.0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ht="12.0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ht="12.0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ht="12.0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ht="12.0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ht="12.0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ht="12.0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ht="12.0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ht="12.0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ht="12.0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ht="12.0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ht="12.0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ht="12.0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ht="12.0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ht="12.0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ht="12.0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ht="12.0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ht="12.0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ht="12.0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ht="12.0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ht="12.0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ht="12.0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ht="12.0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ht="12.0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ht="12.0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ht="12.0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ht="12.0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ht="12.0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ht="12.0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ht="12.0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ht="12.0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ht="12.0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ht="12.0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ht="12.0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ht="12.0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ht="12.0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ht="12.0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ht="12.0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ht="12.0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ht="12.0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ht="12.0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ht="12.0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ht="12.0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ht="12.0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ht="12.0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ht="12.0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ht="12.0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ht="12.0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ht="12.0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ht="12.0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ht="12.0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ht="12.0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ht="12.0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ht="12.0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ht="12.0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ht="12.0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ht="12.0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ht="12.0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ht="12.0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ht="12.0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ht="12.0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ht="12.0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ht="12.0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ht="12.0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ht="12.0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ht="12.0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ht="12.0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ht="12.0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ht="12.0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ht="12.0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ht="12.0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ht="12.0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ht="12.0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ht="12.0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ht="12.0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ht="12.0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ht="12.0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ht="12.0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ht="12.0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ht="12.0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ht="12.0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ht="12.0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ht="12.0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ht="12.0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ht="12.0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ht="12.0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ht="12.0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ht="12.0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ht="12.0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ht="12.0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ht="12.0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ht="12.0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ht="12.0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ht="12.0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ht="12.0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ht="12.0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ht="12.0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ht="12.0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ht="12.0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ht="12.0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ht="12.0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ht="12.0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ht="12.0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ht="12.0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ht="12.0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ht="12.0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ht="12.0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ht="12.0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ht="12.0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ht="12.0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ht="12.0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ht="12.0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ht="12.0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ht="12.0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ht="12.0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ht="12.0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ht="12.0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ht="12.0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ht="12.0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ht="12.0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ht="12.0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ht="12.0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ht="12.0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ht="12.0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ht="12.0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ht="12.0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ht="12.0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ht="12.0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ht="12.0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ht="12.0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ht="12.0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ht="12.0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ht="12.0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ht="12.0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ht="12.0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ht="12.0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ht="12.0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ht="12.0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ht="12.0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ht="12.0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ht="12.0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ht="12.0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ht="12.0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ht="12.0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ht="12.0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ht="12.0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ht="12.0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ht="12.0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ht="12.0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ht="12.0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ht="12.0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ht="12.0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ht="12.0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ht="12.0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ht="12.0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ht="12.0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ht="12.0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ht="12.0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ht="12.0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ht="12.0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ht="12.0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ht="12.0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ht="12.0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ht="12.0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ht="12.0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ht="12.0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ht="12.0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ht="12.0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ht="12.0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ht="12.0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ht="12.0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ht="12.0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ht="12.0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ht="12.0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ht="12.0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ht="12.0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ht="12.0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ht="12.0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ht="12.0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ht="12.0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ht="12.0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ht="12.0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ht="12.0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ht="12.0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ht="12.0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ht="12.0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ht="12.0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ht="12.0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ht="12.0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ht="12.0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ht="12.0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ht="12.0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ht="12.0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ht="12.0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ht="12.0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 ht="12.0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 ht="12.0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ht="12.0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 ht="12.0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 ht="12.0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 ht="12.0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 ht="12.0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 ht="12.0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 ht="12.0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 ht="12.0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 ht="12.0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 ht="12.0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 ht="12.0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 ht="12.0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 ht="12.0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 ht="12.0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 ht="12.0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 ht="12.0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 ht="12.0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 ht="12.0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ht="12.0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 ht="12.0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 ht="12.0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 ht="12.0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 ht="12.0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 ht="12.0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 ht="12.0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 ht="12.0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 ht="12.0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 ht="12.0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 ht="12.0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 ht="12.0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 ht="12.0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 ht="12.0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 ht="12.0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 ht="12.0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 ht="12.0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 ht="12.0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 ht="12.0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 ht="12.0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ht="12.0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 ht="12.0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 ht="12.0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 ht="12.0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 ht="12.0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 ht="12.0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ht="12.0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 ht="12.0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 ht="12.0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ht="12.0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 ht="12.0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ht="12.0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 ht="12.0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 ht="12.0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 ht="12.0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ht="12.0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 ht="12.0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ht="12.0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ht="12.0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ht="12.0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ht="12.0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ht="12.0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ht="12.0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ht="12.0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 ht="12.0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 ht="12.0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 ht="12.0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 ht="12.0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 ht="12.0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 ht="12.0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 ht="12.0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 ht="12.0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 ht="12.0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 ht="12.0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 ht="12.0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 ht="12.0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 ht="12.0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 ht="12.0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 ht="12.0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 ht="12.0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 ht="12.0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 ht="12.0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 ht="12.0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 ht="12.0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ht="12.0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 ht="12.0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 ht="12.0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 ht="12.0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 ht="12.0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 ht="12.0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 ht="12.0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 ht="12.0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 ht="12.0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 ht="12.0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 ht="12.0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 ht="12.0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 ht="12.0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 ht="12.0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 ht="12.0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 ht="12.0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 ht="12.0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 ht="12.0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 ht="12.0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 ht="12.0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 ht="12.0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ht="12.0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 ht="12.0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 ht="12.0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 ht="12.0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 ht="12.0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 ht="12.0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ht="12.0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 ht="12.0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 ht="12.0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 ht="12.0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 ht="12.0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B2" s="55" t="s">
        <v>3</v>
      </c>
      <c r="C2" s="55" t="s">
        <v>381</v>
      </c>
      <c r="D2" s="55" t="s">
        <v>382</v>
      </c>
      <c r="E2" s="55" t="s">
        <v>383</v>
      </c>
    </row>
    <row r="3" ht="14.25" customHeight="1">
      <c r="B3" s="56">
        <v>45566.0</v>
      </c>
      <c r="C3" s="57">
        <f>59000+90700+30000+15000+4400+36150+4300+9900-8000+59310</f>
        <v>300760</v>
      </c>
      <c r="D3" s="57">
        <f>17800+36000+81500+65400+31600+15000+30000+40000+51000+90000+20000+42000+38500+17500</f>
        <v>576300</v>
      </c>
      <c r="E3" s="58">
        <f t="shared" ref="E3:E5" si="1">IFERROR(D3/C3-1,0)</f>
        <v>0.9161457641</v>
      </c>
    </row>
    <row r="4" ht="14.25" customHeight="1">
      <c r="B4" s="56">
        <v>45597.0</v>
      </c>
      <c r="C4" s="59">
        <f>61000+21050+2000+23000+33100</f>
        <v>140150</v>
      </c>
      <c r="E4" s="58">
        <f t="shared" si="1"/>
        <v>-1</v>
      </c>
    </row>
    <row r="5" ht="14.25" customHeight="1">
      <c r="B5" s="56">
        <v>45627.0</v>
      </c>
      <c r="C5" s="55">
        <v>85500.0</v>
      </c>
      <c r="E5" s="58">
        <f t="shared" si="1"/>
        <v>-1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63"/>
    <col customWidth="1" min="2" max="2" width="23.63"/>
    <col customWidth="1" min="3" max="3" width="7.63"/>
    <col customWidth="1" min="4" max="4" width="9.0"/>
    <col customWidth="1" min="5" max="5" width="10.13"/>
    <col customWidth="1" min="6" max="7" width="11.13"/>
    <col customWidth="1" min="8" max="8" width="7.63"/>
    <col customWidth="1" min="9" max="9" width="1.13"/>
    <col customWidth="1" min="10" max="27" width="7.63"/>
  </cols>
  <sheetData>
    <row r="1" ht="12.75" customHeight="1">
      <c r="A1" s="1"/>
      <c r="B1" s="2"/>
      <c r="C1" s="2"/>
      <c r="D1" s="2"/>
      <c r="E1" s="2"/>
      <c r="F1" s="2"/>
      <c r="G1" s="60"/>
      <c r="H1" s="60"/>
      <c r="I1" s="6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75" customHeight="1">
      <c r="A2" s="1"/>
      <c r="B2" s="2"/>
      <c r="C2" s="2"/>
      <c r="D2" s="2"/>
      <c r="E2" s="2"/>
      <c r="F2" s="2"/>
      <c r="G2" s="2"/>
      <c r="H2" s="60"/>
      <c r="I2" s="6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0" customHeight="1">
      <c r="A3" s="62"/>
      <c r="B3" s="7" t="s">
        <v>384</v>
      </c>
      <c r="C3" s="7" t="s">
        <v>385</v>
      </c>
      <c r="D3" s="7" t="s">
        <v>386</v>
      </c>
      <c r="E3" s="7" t="s">
        <v>359</v>
      </c>
      <c r="F3" s="7" t="s">
        <v>387</v>
      </c>
      <c r="G3" s="7" t="s">
        <v>1</v>
      </c>
      <c r="H3" s="63"/>
      <c r="I3" s="6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6.5" customHeight="1">
      <c r="A4" s="62"/>
      <c r="B4" s="65">
        <v>3.0</v>
      </c>
      <c r="C4" s="65"/>
      <c r="D4" s="65"/>
      <c r="E4" s="65"/>
      <c r="F4" s="65"/>
      <c r="G4" s="65"/>
      <c r="H4" s="63"/>
      <c r="I4" s="6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"/>
      <c r="B5" s="66" t="s">
        <v>388</v>
      </c>
      <c r="C5" s="66" t="s">
        <v>389</v>
      </c>
      <c r="D5" s="67">
        <v>3500.0</v>
      </c>
      <c r="E5" s="67">
        <v>4500.0</v>
      </c>
      <c r="F5" s="68">
        <f t="shared" ref="F5:F169" si="1">E5/D5</f>
        <v>1.285714286</v>
      </c>
      <c r="G5" s="69">
        <v>45320.0</v>
      </c>
      <c r="H5" s="60"/>
      <c r="I5" s="6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3" t="s">
        <v>390</v>
      </c>
      <c r="C6" s="13" t="s">
        <v>385</v>
      </c>
      <c r="D6" s="70">
        <v>1.0</v>
      </c>
      <c r="E6" s="70">
        <v>1800.0</v>
      </c>
      <c r="F6" s="71">
        <f t="shared" si="1"/>
        <v>1800</v>
      </c>
      <c r="G6" s="72"/>
      <c r="H6" s="60"/>
      <c r="I6" s="6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3" t="s">
        <v>391</v>
      </c>
      <c r="C7" s="13" t="s">
        <v>392</v>
      </c>
      <c r="D7" s="70">
        <v>100.0</v>
      </c>
      <c r="E7" s="70">
        <v>1700.0</v>
      </c>
      <c r="F7" s="71">
        <f t="shared" si="1"/>
        <v>17</v>
      </c>
      <c r="G7" s="72">
        <v>45276.0</v>
      </c>
      <c r="H7" s="60"/>
      <c r="I7" s="6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13" t="s">
        <v>393</v>
      </c>
      <c r="C8" s="13" t="s">
        <v>389</v>
      </c>
      <c r="D8" s="70">
        <v>148.0</v>
      </c>
      <c r="E8" s="70">
        <v>819.0</v>
      </c>
      <c r="F8" s="71">
        <f t="shared" si="1"/>
        <v>5.533783784</v>
      </c>
      <c r="G8" s="72">
        <v>45320.0</v>
      </c>
      <c r="H8" s="60"/>
      <c r="I8" s="6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13" t="s">
        <v>394</v>
      </c>
      <c r="C9" s="13" t="s">
        <v>385</v>
      </c>
      <c r="D9" s="70">
        <v>1.0</v>
      </c>
      <c r="E9" s="70">
        <v>2500.0</v>
      </c>
      <c r="F9" s="71">
        <f t="shared" si="1"/>
        <v>2500</v>
      </c>
      <c r="G9" s="72"/>
      <c r="H9" s="60"/>
      <c r="I9" s="6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73" t="s">
        <v>395</v>
      </c>
      <c r="C10" s="13" t="s">
        <v>392</v>
      </c>
      <c r="D10" s="70">
        <v>10000.0</v>
      </c>
      <c r="E10" s="70">
        <v>14000.0</v>
      </c>
      <c r="F10" s="71">
        <f t="shared" si="1"/>
        <v>1.4</v>
      </c>
      <c r="G10" s="74">
        <v>46145.0</v>
      </c>
      <c r="H10" s="60"/>
      <c r="I10" s="6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13" t="s">
        <v>396</v>
      </c>
      <c r="C11" s="13" t="s">
        <v>392</v>
      </c>
      <c r="D11" s="70">
        <v>1000.0</v>
      </c>
      <c r="E11" s="70">
        <v>15000.0</v>
      </c>
      <c r="F11" s="71">
        <f t="shared" si="1"/>
        <v>15</v>
      </c>
      <c r="G11" s="72">
        <v>45377.0</v>
      </c>
      <c r="H11" s="60"/>
      <c r="I11" s="6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75" t="s">
        <v>397</v>
      </c>
      <c r="C12" s="13" t="s">
        <v>392</v>
      </c>
      <c r="D12" s="70">
        <v>10000.0</v>
      </c>
      <c r="E12" s="76">
        <v>15000.0</v>
      </c>
      <c r="F12" s="71">
        <f t="shared" si="1"/>
        <v>1.5</v>
      </c>
      <c r="G12" s="74">
        <v>46145.0</v>
      </c>
      <c r="H12" s="60"/>
      <c r="I12" s="6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3" t="s">
        <v>398</v>
      </c>
      <c r="C13" s="13" t="s">
        <v>392</v>
      </c>
      <c r="D13" s="70">
        <v>1000.0</v>
      </c>
      <c r="E13" s="70">
        <v>850.0</v>
      </c>
      <c r="F13" s="71">
        <f t="shared" si="1"/>
        <v>0.85</v>
      </c>
      <c r="G13" s="72">
        <v>45082.0</v>
      </c>
      <c r="H13" s="60"/>
      <c r="I13" s="6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13" t="s">
        <v>399</v>
      </c>
      <c r="C14" s="13" t="s">
        <v>385</v>
      </c>
      <c r="D14" s="70">
        <v>1.0</v>
      </c>
      <c r="E14" s="70">
        <v>700.0</v>
      </c>
      <c r="F14" s="71">
        <f t="shared" si="1"/>
        <v>700</v>
      </c>
      <c r="G14" s="72">
        <v>45635.0</v>
      </c>
      <c r="H14" s="60"/>
      <c r="I14" s="6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13" t="s">
        <v>400</v>
      </c>
      <c r="C15" s="13" t="s">
        <v>385</v>
      </c>
      <c r="D15" s="70">
        <v>1.0</v>
      </c>
      <c r="E15" s="70">
        <v>400.0</v>
      </c>
      <c r="F15" s="71">
        <f t="shared" si="1"/>
        <v>400</v>
      </c>
      <c r="G15" s="72">
        <v>45565.0</v>
      </c>
      <c r="H15" s="60"/>
      <c r="I15" s="6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77" t="s">
        <v>401</v>
      </c>
      <c r="C16" s="13" t="s">
        <v>385</v>
      </c>
      <c r="D16" s="70">
        <v>1.0</v>
      </c>
      <c r="E16" s="76">
        <v>1300.0</v>
      </c>
      <c r="F16" s="71">
        <f t="shared" si="1"/>
        <v>1300</v>
      </c>
      <c r="G16" s="74">
        <v>46145.0</v>
      </c>
      <c r="H16" s="60"/>
      <c r="I16" s="6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3" t="s">
        <v>402</v>
      </c>
      <c r="C17" s="13" t="s">
        <v>385</v>
      </c>
      <c r="D17" s="70">
        <v>100.0</v>
      </c>
      <c r="E17" s="70">
        <v>500.0</v>
      </c>
      <c r="F17" s="71">
        <f t="shared" si="1"/>
        <v>5</v>
      </c>
      <c r="G17" s="72"/>
      <c r="H17" s="60"/>
      <c r="I17" s="6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3" t="s">
        <v>403</v>
      </c>
      <c r="C18" s="13" t="s">
        <v>385</v>
      </c>
      <c r="D18" s="70">
        <v>1.0</v>
      </c>
      <c r="E18" s="70">
        <v>10.2</v>
      </c>
      <c r="F18" s="71">
        <f t="shared" si="1"/>
        <v>10.2</v>
      </c>
      <c r="G18" s="72"/>
      <c r="H18" s="60"/>
      <c r="I18" s="6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3" t="s">
        <v>404</v>
      </c>
      <c r="C19" s="13" t="s">
        <v>385</v>
      </c>
      <c r="D19" s="70">
        <v>1.0</v>
      </c>
      <c r="E19" s="76">
        <v>1300.0</v>
      </c>
      <c r="F19" s="71">
        <f t="shared" si="1"/>
        <v>1300</v>
      </c>
      <c r="G19" s="72">
        <v>45492.0</v>
      </c>
      <c r="H19" s="60"/>
      <c r="I19" s="6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77" t="s">
        <v>405</v>
      </c>
      <c r="C20" s="13" t="s">
        <v>385</v>
      </c>
      <c r="D20" s="70">
        <v>1.0</v>
      </c>
      <c r="E20" s="76">
        <v>1610.0</v>
      </c>
      <c r="F20" s="71">
        <f t="shared" si="1"/>
        <v>1610</v>
      </c>
      <c r="G20" s="74">
        <v>46145.0</v>
      </c>
      <c r="H20" s="60"/>
      <c r="I20" s="6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77" t="s">
        <v>406</v>
      </c>
      <c r="C21" s="13" t="s">
        <v>385</v>
      </c>
      <c r="D21" s="70">
        <v>1.0</v>
      </c>
      <c r="E21" s="76">
        <v>2250.0</v>
      </c>
      <c r="F21" s="71">
        <f t="shared" si="1"/>
        <v>2250</v>
      </c>
      <c r="G21" s="72">
        <v>45877.0</v>
      </c>
      <c r="H21" s="60"/>
      <c r="I21" s="6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13" t="s">
        <v>407</v>
      </c>
      <c r="C22" s="13" t="s">
        <v>392</v>
      </c>
      <c r="D22" s="70">
        <v>500.0</v>
      </c>
      <c r="E22" s="70">
        <v>2300.0</v>
      </c>
      <c r="F22" s="71">
        <f t="shared" si="1"/>
        <v>4.6</v>
      </c>
      <c r="G22" s="72">
        <v>45635.0</v>
      </c>
      <c r="H22" s="60"/>
      <c r="I22" s="6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13" t="s">
        <v>408</v>
      </c>
      <c r="C23" s="13" t="s">
        <v>392</v>
      </c>
      <c r="D23" s="70">
        <v>25.0</v>
      </c>
      <c r="E23" s="70">
        <v>416.0</v>
      </c>
      <c r="F23" s="71">
        <f t="shared" si="1"/>
        <v>16.64</v>
      </c>
      <c r="G23" s="72">
        <v>45635.0</v>
      </c>
      <c r="H23" s="60"/>
      <c r="I23" s="6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13" t="s">
        <v>409</v>
      </c>
      <c r="C24" s="13" t="s">
        <v>385</v>
      </c>
      <c r="D24" s="70">
        <v>100.0</v>
      </c>
      <c r="E24" s="70">
        <v>396.0</v>
      </c>
      <c r="F24" s="71">
        <f t="shared" si="1"/>
        <v>3.96</v>
      </c>
      <c r="G24" s="72">
        <v>45082.0</v>
      </c>
      <c r="H24" s="60"/>
      <c r="I24" s="6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13" t="s">
        <v>410</v>
      </c>
      <c r="C25" s="13" t="s">
        <v>385</v>
      </c>
      <c r="D25" s="70">
        <v>100.0</v>
      </c>
      <c r="E25" s="70">
        <v>625.0</v>
      </c>
      <c r="F25" s="71">
        <f t="shared" si="1"/>
        <v>6.25</v>
      </c>
      <c r="G25" s="72">
        <v>45082.0</v>
      </c>
      <c r="H25" s="60"/>
      <c r="I25" s="61"/>
      <c r="J25" s="2"/>
      <c r="K25" s="2"/>
      <c r="L25" s="7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13" t="s">
        <v>411</v>
      </c>
      <c r="C26" s="13" t="s">
        <v>385</v>
      </c>
      <c r="D26" s="70">
        <v>100.0</v>
      </c>
      <c r="E26" s="70">
        <v>794.0</v>
      </c>
      <c r="F26" s="71">
        <f t="shared" si="1"/>
        <v>7.94</v>
      </c>
      <c r="G26" s="72">
        <v>45082.0</v>
      </c>
      <c r="H26" s="60"/>
      <c r="I26" s="6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13" t="s">
        <v>412</v>
      </c>
      <c r="C27" s="13" t="s">
        <v>385</v>
      </c>
      <c r="D27" s="70">
        <v>1.0</v>
      </c>
      <c r="E27" s="70">
        <v>1800.0</v>
      </c>
      <c r="F27" s="71">
        <f t="shared" si="1"/>
        <v>1800</v>
      </c>
      <c r="G27" s="72"/>
      <c r="H27" s="60"/>
      <c r="I27" s="6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13" t="s">
        <v>413</v>
      </c>
      <c r="C28" s="13" t="s">
        <v>385</v>
      </c>
      <c r="D28" s="70">
        <v>1.0</v>
      </c>
      <c r="E28" s="70">
        <v>34.0</v>
      </c>
      <c r="F28" s="71">
        <f t="shared" si="1"/>
        <v>34</v>
      </c>
      <c r="G28" s="72">
        <v>45082.0</v>
      </c>
      <c r="H28" s="60"/>
      <c r="I28" s="6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13" t="s">
        <v>414</v>
      </c>
      <c r="C29" s="13" t="s">
        <v>385</v>
      </c>
      <c r="D29" s="70">
        <v>10.0</v>
      </c>
      <c r="E29" s="70">
        <v>1000.0</v>
      </c>
      <c r="F29" s="71">
        <f t="shared" si="1"/>
        <v>100</v>
      </c>
      <c r="G29" s="72">
        <v>45017.0</v>
      </c>
      <c r="H29" s="60"/>
      <c r="I29" s="6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13" t="s">
        <v>415</v>
      </c>
      <c r="C30" s="13" t="s">
        <v>385</v>
      </c>
      <c r="D30" s="70">
        <v>100.0</v>
      </c>
      <c r="E30" s="70">
        <v>1100.0</v>
      </c>
      <c r="F30" s="71">
        <f t="shared" si="1"/>
        <v>11</v>
      </c>
      <c r="G30" s="72">
        <v>45276.0</v>
      </c>
      <c r="H30" s="60"/>
      <c r="I30" s="6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13" t="s">
        <v>416</v>
      </c>
      <c r="C31" s="13" t="s">
        <v>385</v>
      </c>
      <c r="D31" s="70">
        <v>200.0</v>
      </c>
      <c r="E31" s="70">
        <v>202.0</v>
      </c>
      <c r="F31" s="71">
        <f t="shared" si="1"/>
        <v>1.01</v>
      </c>
      <c r="G31" s="72">
        <v>45082.0</v>
      </c>
      <c r="H31" s="60"/>
      <c r="I31" s="6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13" t="s">
        <v>417</v>
      </c>
      <c r="C32" s="13" t="s">
        <v>385</v>
      </c>
      <c r="D32" s="70">
        <v>1.0</v>
      </c>
      <c r="E32" s="70">
        <v>50.0</v>
      </c>
      <c r="F32" s="71">
        <f t="shared" si="1"/>
        <v>50</v>
      </c>
      <c r="G32" s="72"/>
      <c r="H32" s="60"/>
      <c r="I32" s="6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13" t="s">
        <v>418</v>
      </c>
      <c r="C33" s="13" t="s">
        <v>392</v>
      </c>
      <c r="D33" s="70">
        <v>1000.0</v>
      </c>
      <c r="E33" s="70">
        <v>6200.0</v>
      </c>
      <c r="F33" s="71">
        <f t="shared" si="1"/>
        <v>6.2</v>
      </c>
      <c r="G33" s="72"/>
      <c r="H33" s="60"/>
      <c r="I33" s="61"/>
      <c r="J33" s="6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13" t="s">
        <v>419</v>
      </c>
      <c r="C34" s="13" t="s">
        <v>385</v>
      </c>
      <c r="D34" s="70">
        <v>30.0</v>
      </c>
      <c r="E34" s="70">
        <v>2515.0</v>
      </c>
      <c r="F34" s="71">
        <f t="shared" si="1"/>
        <v>83.83333333</v>
      </c>
      <c r="G34" s="72"/>
      <c r="H34" s="60"/>
      <c r="I34" s="6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13" t="s">
        <v>420</v>
      </c>
      <c r="C35" s="13" t="s">
        <v>385</v>
      </c>
      <c r="D35" s="70">
        <v>100.0</v>
      </c>
      <c r="E35" s="70">
        <v>1750.0</v>
      </c>
      <c r="F35" s="71">
        <f t="shared" si="1"/>
        <v>17.5</v>
      </c>
      <c r="G35" s="72"/>
      <c r="H35" s="60"/>
      <c r="I35" s="6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13" t="s">
        <v>421</v>
      </c>
      <c r="C36" s="13" t="s">
        <v>385</v>
      </c>
      <c r="D36" s="70">
        <v>1.0</v>
      </c>
      <c r="E36" s="70">
        <v>40.0</v>
      </c>
      <c r="F36" s="71">
        <f t="shared" si="1"/>
        <v>40</v>
      </c>
      <c r="G36" s="72">
        <v>45082.0</v>
      </c>
      <c r="H36" s="60"/>
      <c r="I36" s="6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13" t="s">
        <v>422</v>
      </c>
      <c r="C37" s="13" t="s">
        <v>392</v>
      </c>
      <c r="D37" s="70">
        <v>180.0</v>
      </c>
      <c r="E37" s="76">
        <v>6500.0</v>
      </c>
      <c r="F37" s="71">
        <f t="shared" si="1"/>
        <v>36.11111111</v>
      </c>
      <c r="G37" s="74">
        <v>46145.0</v>
      </c>
      <c r="H37" s="60"/>
      <c r="I37" s="6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13" t="s">
        <v>423</v>
      </c>
      <c r="C38" s="13" t="s">
        <v>392</v>
      </c>
      <c r="D38" s="70">
        <v>1000.0</v>
      </c>
      <c r="E38" s="70">
        <v>36000.0</v>
      </c>
      <c r="F38" s="71">
        <f t="shared" si="1"/>
        <v>36</v>
      </c>
      <c r="G38" s="74">
        <v>46145.0</v>
      </c>
      <c r="H38" s="60"/>
      <c r="I38" s="6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13" t="s">
        <v>424</v>
      </c>
      <c r="C39" s="13" t="s">
        <v>385</v>
      </c>
      <c r="D39" s="70">
        <v>20.0</v>
      </c>
      <c r="E39" s="70">
        <v>441.0</v>
      </c>
      <c r="F39" s="71">
        <f t="shared" si="1"/>
        <v>22.05</v>
      </c>
      <c r="G39" s="72">
        <v>45082.0</v>
      </c>
      <c r="H39" s="60"/>
      <c r="I39" s="6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13" t="s">
        <v>425</v>
      </c>
      <c r="C40" s="13" t="s">
        <v>392</v>
      </c>
      <c r="D40" s="70">
        <v>170.0</v>
      </c>
      <c r="E40" s="70">
        <v>798.0</v>
      </c>
      <c r="F40" s="71">
        <f t="shared" si="1"/>
        <v>4.694117647</v>
      </c>
      <c r="G40" s="72">
        <v>45082.0</v>
      </c>
      <c r="H40" s="60"/>
      <c r="I40" s="6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75" t="s">
        <v>426</v>
      </c>
      <c r="C41" s="13" t="s">
        <v>385</v>
      </c>
      <c r="D41" s="70">
        <v>1.0</v>
      </c>
      <c r="E41" s="70">
        <v>975.0</v>
      </c>
      <c r="F41" s="71">
        <f t="shared" si="1"/>
        <v>975</v>
      </c>
      <c r="G41" s="74">
        <v>46145.0</v>
      </c>
      <c r="H41" s="60"/>
      <c r="I41" s="6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13" t="s">
        <v>427</v>
      </c>
      <c r="C42" s="13" t="s">
        <v>385</v>
      </c>
      <c r="D42" s="70">
        <v>1.0</v>
      </c>
      <c r="E42" s="70">
        <v>358.0</v>
      </c>
      <c r="F42" s="71">
        <f t="shared" si="1"/>
        <v>358</v>
      </c>
      <c r="G42" s="72">
        <v>45082.0</v>
      </c>
      <c r="H42" s="60"/>
      <c r="I42" s="6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13" t="s">
        <v>428</v>
      </c>
      <c r="C43" s="13" t="s">
        <v>385</v>
      </c>
      <c r="D43" s="70">
        <v>1.0</v>
      </c>
      <c r="E43" s="70">
        <v>436.0</v>
      </c>
      <c r="F43" s="71">
        <f t="shared" si="1"/>
        <v>436</v>
      </c>
      <c r="G43" s="72">
        <v>45082.0</v>
      </c>
      <c r="H43" s="60"/>
      <c r="I43" s="6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13" t="s">
        <v>429</v>
      </c>
      <c r="C44" s="13" t="s">
        <v>385</v>
      </c>
      <c r="D44" s="70">
        <v>1.0</v>
      </c>
      <c r="E44" s="70">
        <v>196.0</v>
      </c>
      <c r="F44" s="71">
        <f t="shared" si="1"/>
        <v>196</v>
      </c>
      <c r="G44" s="72">
        <v>45088.0</v>
      </c>
      <c r="H44" s="60"/>
      <c r="I44" s="6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75" t="s">
        <v>430</v>
      </c>
      <c r="C45" s="13" t="s">
        <v>385</v>
      </c>
      <c r="D45" s="70">
        <v>1.0</v>
      </c>
      <c r="E45" s="70">
        <v>1400.0</v>
      </c>
      <c r="F45" s="71">
        <f t="shared" si="1"/>
        <v>1400</v>
      </c>
      <c r="G45" s="74">
        <v>46145.0</v>
      </c>
      <c r="H45" s="60"/>
      <c r="I45" s="6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75" t="s">
        <v>431</v>
      </c>
      <c r="C46" s="13" t="s">
        <v>385</v>
      </c>
      <c r="D46" s="70">
        <v>1.0</v>
      </c>
      <c r="E46" s="70">
        <v>1700.0</v>
      </c>
      <c r="F46" s="71">
        <f t="shared" si="1"/>
        <v>1700</v>
      </c>
      <c r="G46" s="74">
        <v>46145.0</v>
      </c>
      <c r="H46" s="60"/>
      <c r="I46" s="6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13" t="s">
        <v>432</v>
      </c>
      <c r="C47" s="13" t="s">
        <v>385</v>
      </c>
      <c r="D47" s="70">
        <v>10.0</v>
      </c>
      <c r="E47" s="70">
        <v>680.0</v>
      </c>
      <c r="F47" s="71">
        <f t="shared" si="1"/>
        <v>68</v>
      </c>
      <c r="G47" s="72"/>
      <c r="H47" s="60"/>
      <c r="I47" s="6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77" t="s">
        <v>433</v>
      </c>
      <c r="C48" s="13" t="s">
        <v>385</v>
      </c>
      <c r="D48" s="70">
        <v>1.0</v>
      </c>
      <c r="E48" s="70">
        <v>300.0</v>
      </c>
      <c r="F48" s="71">
        <f t="shared" si="1"/>
        <v>300</v>
      </c>
      <c r="G48" s="72">
        <v>45877.0</v>
      </c>
      <c r="H48" s="60"/>
      <c r="I48" s="6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77" t="s">
        <v>434</v>
      </c>
      <c r="C49" s="13" t="s">
        <v>385</v>
      </c>
      <c r="D49" s="76">
        <v>1.0</v>
      </c>
      <c r="E49" s="70">
        <v>410.0</v>
      </c>
      <c r="F49" s="71">
        <f t="shared" si="1"/>
        <v>410</v>
      </c>
      <c r="G49" s="74">
        <v>46145.0</v>
      </c>
      <c r="H49" s="60"/>
      <c r="I49" s="6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13" t="s">
        <v>435</v>
      </c>
      <c r="C50" s="13" t="s">
        <v>385</v>
      </c>
      <c r="D50" s="70">
        <v>1.0</v>
      </c>
      <c r="E50" s="70">
        <v>212.0</v>
      </c>
      <c r="F50" s="71">
        <f t="shared" si="1"/>
        <v>212</v>
      </c>
      <c r="G50" s="72">
        <v>45017.0</v>
      </c>
      <c r="H50" s="60"/>
      <c r="I50" s="6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13" t="s">
        <v>436</v>
      </c>
      <c r="C51" s="13" t="s">
        <v>385</v>
      </c>
      <c r="D51" s="70">
        <v>1.0</v>
      </c>
      <c r="E51" s="70">
        <v>291.0</v>
      </c>
      <c r="F51" s="71">
        <f t="shared" si="1"/>
        <v>291</v>
      </c>
      <c r="G51" s="72">
        <v>45082.0</v>
      </c>
      <c r="H51" s="60"/>
      <c r="I51" s="6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13" t="s">
        <v>437</v>
      </c>
      <c r="C52" s="13" t="s">
        <v>385</v>
      </c>
      <c r="D52" s="70">
        <v>1.0</v>
      </c>
      <c r="E52" s="70">
        <v>55.0</v>
      </c>
      <c r="F52" s="71">
        <f t="shared" si="1"/>
        <v>55</v>
      </c>
      <c r="G52" s="72"/>
      <c r="H52" s="60"/>
      <c r="I52" s="6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13" t="s">
        <v>438</v>
      </c>
      <c r="C53" s="13" t="s">
        <v>385</v>
      </c>
      <c r="D53" s="70">
        <v>1.0</v>
      </c>
      <c r="E53" s="70">
        <v>52.0</v>
      </c>
      <c r="F53" s="71">
        <f t="shared" si="1"/>
        <v>52</v>
      </c>
      <c r="G53" s="72"/>
      <c r="H53" s="60"/>
      <c r="I53" s="6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13" t="s">
        <v>439</v>
      </c>
      <c r="C54" s="13" t="s">
        <v>385</v>
      </c>
      <c r="D54" s="70">
        <v>1.0</v>
      </c>
      <c r="E54" s="70">
        <v>43.0</v>
      </c>
      <c r="F54" s="71">
        <f t="shared" si="1"/>
        <v>43</v>
      </c>
      <c r="G54" s="72"/>
      <c r="H54" s="60"/>
      <c r="I54" s="6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75" t="s">
        <v>440</v>
      </c>
      <c r="C55" s="13" t="s">
        <v>385</v>
      </c>
      <c r="D55" s="70">
        <v>1.0</v>
      </c>
      <c r="E55" s="76">
        <v>2500.0</v>
      </c>
      <c r="F55" s="71">
        <f t="shared" si="1"/>
        <v>2500</v>
      </c>
      <c r="G55" s="74">
        <v>46145.0</v>
      </c>
      <c r="H55" s="60"/>
      <c r="I55" s="6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13" t="s">
        <v>441</v>
      </c>
      <c r="C56" s="13" t="s">
        <v>385</v>
      </c>
      <c r="D56" s="70">
        <v>1.0</v>
      </c>
      <c r="E56" s="70">
        <v>831.0</v>
      </c>
      <c r="F56" s="71">
        <f t="shared" si="1"/>
        <v>831</v>
      </c>
      <c r="G56" s="72">
        <v>45755.0</v>
      </c>
      <c r="H56" s="60"/>
      <c r="I56" s="6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77" t="s">
        <v>442</v>
      </c>
      <c r="C57" s="13" t="s">
        <v>385</v>
      </c>
      <c r="D57" s="70">
        <v>5.0</v>
      </c>
      <c r="E57" s="70">
        <v>6500.0</v>
      </c>
      <c r="F57" s="71">
        <f t="shared" si="1"/>
        <v>1300</v>
      </c>
      <c r="G57" s="72">
        <v>45811.0</v>
      </c>
      <c r="H57" s="60"/>
      <c r="I57" s="6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13" t="s">
        <v>443</v>
      </c>
      <c r="C58" s="13" t="s">
        <v>392</v>
      </c>
      <c r="D58" s="70">
        <v>1000.0</v>
      </c>
      <c r="E58" s="70">
        <v>4200.0</v>
      </c>
      <c r="F58" s="71">
        <f t="shared" si="1"/>
        <v>4.2</v>
      </c>
      <c r="G58" s="72">
        <v>45082.0</v>
      </c>
      <c r="H58" s="60"/>
      <c r="I58" s="6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13" t="s">
        <v>444</v>
      </c>
      <c r="C59" s="13" t="s">
        <v>385</v>
      </c>
      <c r="D59" s="70">
        <v>10.0</v>
      </c>
      <c r="E59" s="70">
        <v>2900.0</v>
      </c>
      <c r="F59" s="71">
        <f t="shared" si="1"/>
        <v>290</v>
      </c>
      <c r="G59" s="72"/>
      <c r="H59" s="60"/>
      <c r="I59" s="6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13" t="s">
        <v>445</v>
      </c>
      <c r="C60" s="13" t="s">
        <v>385</v>
      </c>
      <c r="D60" s="70">
        <v>1.0</v>
      </c>
      <c r="E60" s="70">
        <v>250.0</v>
      </c>
      <c r="F60" s="71">
        <f t="shared" si="1"/>
        <v>250</v>
      </c>
      <c r="G60" s="72">
        <v>45088.0</v>
      </c>
      <c r="H60" s="60"/>
      <c r="I60" s="6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13" t="s">
        <v>446</v>
      </c>
      <c r="C61" s="13" t="s">
        <v>392</v>
      </c>
      <c r="D61" s="70">
        <v>1000.0</v>
      </c>
      <c r="E61" s="70">
        <v>15000.0</v>
      </c>
      <c r="F61" s="71">
        <f t="shared" si="1"/>
        <v>15</v>
      </c>
      <c r="G61" s="72"/>
      <c r="H61" s="60"/>
      <c r="I61" s="6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13" t="s">
        <v>447</v>
      </c>
      <c r="C62" s="13" t="s">
        <v>385</v>
      </c>
      <c r="D62" s="70">
        <v>1.0</v>
      </c>
      <c r="E62" s="70">
        <v>20.0</v>
      </c>
      <c r="F62" s="71">
        <f t="shared" si="1"/>
        <v>20</v>
      </c>
      <c r="G62" s="72"/>
      <c r="H62" s="60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13" t="s">
        <v>448</v>
      </c>
      <c r="C63" s="13" t="s">
        <v>392</v>
      </c>
      <c r="D63" s="70">
        <v>1000.0</v>
      </c>
      <c r="E63" s="70">
        <v>1750.0</v>
      </c>
      <c r="F63" s="71">
        <f t="shared" si="1"/>
        <v>1.75</v>
      </c>
      <c r="G63" s="72"/>
      <c r="H63" s="60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13" t="s">
        <v>449</v>
      </c>
      <c r="C64" s="13" t="s">
        <v>392</v>
      </c>
      <c r="D64" s="70">
        <v>25.0</v>
      </c>
      <c r="E64" s="70">
        <v>225.0</v>
      </c>
      <c r="F64" s="71">
        <f t="shared" si="1"/>
        <v>9</v>
      </c>
      <c r="G64" s="74">
        <v>46178.0</v>
      </c>
      <c r="H64" s="60"/>
      <c r="I64" s="6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13" t="s">
        <v>450</v>
      </c>
      <c r="C65" s="13" t="s">
        <v>392</v>
      </c>
      <c r="D65" s="70">
        <v>3000.0</v>
      </c>
      <c r="E65" s="70">
        <v>24000.0</v>
      </c>
      <c r="F65" s="71">
        <f t="shared" si="1"/>
        <v>8</v>
      </c>
      <c r="G65" s="72">
        <v>45377.0</v>
      </c>
      <c r="H65" s="60"/>
      <c r="I65" s="6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13" t="s">
        <v>451</v>
      </c>
      <c r="C66" s="13" t="s">
        <v>385</v>
      </c>
      <c r="D66" s="70">
        <v>1.0</v>
      </c>
      <c r="E66" s="70">
        <v>618.0</v>
      </c>
      <c r="F66" s="71">
        <f t="shared" si="1"/>
        <v>618</v>
      </c>
      <c r="G66" s="72">
        <v>45082.0</v>
      </c>
      <c r="H66" s="60"/>
      <c r="I66" s="6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13" t="s">
        <v>452</v>
      </c>
      <c r="C67" s="13" t="s">
        <v>392</v>
      </c>
      <c r="D67" s="70">
        <v>1000.0</v>
      </c>
      <c r="E67" s="76">
        <v>9000.0</v>
      </c>
      <c r="F67" s="71">
        <f t="shared" si="1"/>
        <v>9</v>
      </c>
      <c r="G67" s="74">
        <v>46145.0</v>
      </c>
      <c r="H67" s="60"/>
      <c r="I67" s="6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13" t="s">
        <v>453</v>
      </c>
      <c r="C68" s="13" t="s">
        <v>385</v>
      </c>
      <c r="D68" s="70">
        <v>1.0</v>
      </c>
      <c r="E68" s="76">
        <v>1900.0</v>
      </c>
      <c r="F68" s="71">
        <f t="shared" si="1"/>
        <v>1900</v>
      </c>
      <c r="G68" s="74">
        <v>46145.0</v>
      </c>
      <c r="H68" s="60"/>
      <c r="I68" s="6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73" t="s">
        <v>454</v>
      </c>
      <c r="C69" s="13" t="s">
        <v>392</v>
      </c>
      <c r="D69" s="70">
        <v>6000.0</v>
      </c>
      <c r="E69" s="70">
        <v>60000.0</v>
      </c>
      <c r="F69" s="71">
        <f t="shared" si="1"/>
        <v>10</v>
      </c>
      <c r="G69" s="74">
        <v>46145.0</v>
      </c>
      <c r="H69" s="60"/>
      <c r="I69" s="6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75" t="s">
        <v>455</v>
      </c>
      <c r="C70" s="13" t="s">
        <v>392</v>
      </c>
      <c r="D70" s="70">
        <v>250.0</v>
      </c>
      <c r="E70" s="70">
        <v>1900.0</v>
      </c>
      <c r="F70" s="71">
        <f t="shared" si="1"/>
        <v>7.6</v>
      </c>
      <c r="G70" s="74">
        <v>46145.0</v>
      </c>
      <c r="H70" s="60"/>
      <c r="I70" s="6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13" t="s">
        <v>456</v>
      </c>
      <c r="C71" s="13" t="s">
        <v>385</v>
      </c>
      <c r="D71" s="70">
        <v>10.0</v>
      </c>
      <c r="E71" s="70">
        <v>610.0</v>
      </c>
      <c r="F71" s="71">
        <f t="shared" si="1"/>
        <v>61</v>
      </c>
      <c r="G71" s="72"/>
      <c r="H71" s="60"/>
      <c r="I71" s="6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13" t="s">
        <v>457</v>
      </c>
      <c r="C72" s="13" t="s">
        <v>392</v>
      </c>
      <c r="D72" s="70">
        <v>1000.0</v>
      </c>
      <c r="E72" s="76">
        <v>10500.0</v>
      </c>
      <c r="F72" s="71">
        <f t="shared" si="1"/>
        <v>10.5</v>
      </c>
      <c r="G72" s="74">
        <v>46145.0</v>
      </c>
      <c r="H72" s="60"/>
      <c r="I72" s="6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13" t="s">
        <v>458</v>
      </c>
      <c r="C73" s="13" t="s">
        <v>392</v>
      </c>
      <c r="D73" s="70">
        <v>15.0</v>
      </c>
      <c r="E73" s="76">
        <v>1800.0</v>
      </c>
      <c r="F73" s="71">
        <f t="shared" si="1"/>
        <v>120</v>
      </c>
      <c r="G73" s="74">
        <v>46145.0</v>
      </c>
      <c r="H73" s="60"/>
      <c r="I73" s="6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13" t="s">
        <v>459</v>
      </c>
      <c r="C74" s="13" t="s">
        <v>392</v>
      </c>
      <c r="D74" s="70">
        <v>15.0</v>
      </c>
      <c r="E74" s="76">
        <v>3500.0</v>
      </c>
      <c r="F74" s="71">
        <f t="shared" si="1"/>
        <v>233.3333333</v>
      </c>
      <c r="G74" s="74">
        <v>46145.0</v>
      </c>
      <c r="H74" s="60"/>
      <c r="I74" s="6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13" t="s">
        <v>460</v>
      </c>
      <c r="C75" s="13" t="s">
        <v>392</v>
      </c>
      <c r="D75" s="70">
        <v>15.0</v>
      </c>
      <c r="E75" s="76">
        <v>5000.0</v>
      </c>
      <c r="F75" s="71">
        <f t="shared" si="1"/>
        <v>333.3333333</v>
      </c>
      <c r="G75" s="74">
        <v>46145.0</v>
      </c>
      <c r="H75" s="60"/>
      <c r="I75" s="6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13" t="s">
        <v>461</v>
      </c>
      <c r="C76" s="13" t="s">
        <v>392</v>
      </c>
      <c r="D76" s="70">
        <v>1000.0</v>
      </c>
      <c r="E76" s="76">
        <v>11000.0</v>
      </c>
      <c r="F76" s="71">
        <f t="shared" si="1"/>
        <v>11</v>
      </c>
      <c r="G76" s="74">
        <v>46145.0</v>
      </c>
      <c r="H76" s="60"/>
      <c r="I76" s="6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73" t="s">
        <v>462</v>
      </c>
      <c r="C77" s="13" t="s">
        <v>392</v>
      </c>
      <c r="D77" s="70">
        <v>5000.0</v>
      </c>
      <c r="E77" s="70">
        <v>46000.0</v>
      </c>
      <c r="F77" s="71">
        <f t="shared" si="1"/>
        <v>9.2</v>
      </c>
      <c r="G77" s="74">
        <v>46145.0</v>
      </c>
      <c r="H77" s="60"/>
      <c r="I77" s="6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13" t="s">
        <v>463</v>
      </c>
      <c r="C78" s="13" t="s">
        <v>389</v>
      </c>
      <c r="D78" s="70">
        <v>7000.0</v>
      </c>
      <c r="E78" s="70">
        <v>900.0</v>
      </c>
      <c r="F78" s="71">
        <f t="shared" si="1"/>
        <v>0.1285714286</v>
      </c>
      <c r="G78" s="72">
        <v>45877.0</v>
      </c>
      <c r="H78" s="60"/>
      <c r="I78" s="6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13" t="s">
        <v>464</v>
      </c>
      <c r="C79" s="13" t="s">
        <v>385</v>
      </c>
      <c r="D79" s="70">
        <v>1.0</v>
      </c>
      <c r="E79" s="70">
        <v>53.0</v>
      </c>
      <c r="F79" s="71">
        <f t="shared" si="1"/>
        <v>53</v>
      </c>
      <c r="G79" s="72">
        <v>45017.0</v>
      </c>
      <c r="H79" s="60"/>
      <c r="I79" s="6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13" t="s">
        <v>465</v>
      </c>
      <c r="C80" s="13" t="s">
        <v>385</v>
      </c>
      <c r="D80" s="70">
        <v>10.0</v>
      </c>
      <c r="E80" s="70">
        <v>4000.0</v>
      </c>
      <c r="F80" s="71">
        <f t="shared" si="1"/>
        <v>400</v>
      </c>
      <c r="G80" s="72">
        <v>45565.0</v>
      </c>
      <c r="H80" s="60"/>
      <c r="I80" s="6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73" t="s">
        <v>466</v>
      </c>
      <c r="C81" s="13" t="s">
        <v>392</v>
      </c>
      <c r="D81" s="70">
        <v>10000.0</v>
      </c>
      <c r="E81" s="76">
        <v>34000.0</v>
      </c>
      <c r="F81" s="71">
        <f t="shared" si="1"/>
        <v>3.4</v>
      </c>
      <c r="G81" s="74">
        <v>46145.0</v>
      </c>
      <c r="H81" s="60"/>
      <c r="I81" s="6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13" t="s">
        <v>467</v>
      </c>
      <c r="C82" s="13" t="s">
        <v>392</v>
      </c>
      <c r="D82" s="70">
        <f>(360+250)</f>
        <v>610</v>
      </c>
      <c r="E82" s="70">
        <v>5000.0</v>
      </c>
      <c r="F82" s="71">
        <f t="shared" si="1"/>
        <v>8.196721311</v>
      </c>
      <c r="G82" s="72">
        <v>45320.0</v>
      </c>
      <c r="H82" s="60"/>
      <c r="I82" s="6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13" t="s">
        <v>468</v>
      </c>
      <c r="C83" s="13" t="s">
        <v>389</v>
      </c>
      <c r="D83" s="76">
        <v>5000.0</v>
      </c>
      <c r="E83" s="76">
        <v>7600.0</v>
      </c>
      <c r="F83" s="71">
        <f t="shared" si="1"/>
        <v>1.52</v>
      </c>
      <c r="G83" s="74">
        <v>46145.0</v>
      </c>
      <c r="H83" s="60"/>
      <c r="I83" s="6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13" t="s">
        <v>469</v>
      </c>
      <c r="C84" s="13" t="s">
        <v>385</v>
      </c>
      <c r="D84" s="70">
        <v>30.0</v>
      </c>
      <c r="E84" s="70">
        <v>50.0</v>
      </c>
      <c r="F84" s="71">
        <f t="shared" si="1"/>
        <v>1.666666667</v>
      </c>
      <c r="G84" s="72"/>
      <c r="H84" s="60"/>
      <c r="I84" s="6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13" t="s">
        <v>470</v>
      </c>
      <c r="C85" s="13" t="s">
        <v>385</v>
      </c>
      <c r="D85" s="70">
        <v>50.0</v>
      </c>
      <c r="E85" s="70">
        <v>300.0</v>
      </c>
      <c r="F85" s="71">
        <f t="shared" si="1"/>
        <v>6</v>
      </c>
      <c r="G85" s="72"/>
      <c r="H85" s="60"/>
      <c r="I85" s="6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13" t="s">
        <v>471</v>
      </c>
      <c r="C86" s="13" t="s">
        <v>385</v>
      </c>
      <c r="D86" s="70">
        <v>30.0</v>
      </c>
      <c r="E86" s="70">
        <v>380.0</v>
      </c>
      <c r="F86" s="71">
        <f t="shared" si="1"/>
        <v>12.66666667</v>
      </c>
      <c r="G86" s="72">
        <v>45017.0</v>
      </c>
      <c r="H86" s="60"/>
      <c r="I86" s="6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13" t="s">
        <v>472</v>
      </c>
      <c r="C87" s="13" t="s">
        <v>392</v>
      </c>
      <c r="D87" s="70">
        <v>500.0</v>
      </c>
      <c r="E87" s="70">
        <v>3500.0</v>
      </c>
      <c r="F87" s="71">
        <f t="shared" si="1"/>
        <v>7</v>
      </c>
      <c r="G87" s="72">
        <v>45635.0</v>
      </c>
      <c r="H87" s="60"/>
      <c r="I87" s="6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13" t="s">
        <v>473</v>
      </c>
      <c r="C88" s="13" t="s">
        <v>392</v>
      </c>
      <c r="D88" s="76">
        <v>1000.0</v>
      </c>
      <c r="E88" s="76">
        <v>3500.0</v>
      </c>
      <c r="F88" s="71">
        <f t="shared" si="1"/>
        <v>3.5</v>
      </c>
      <c r="G88" s="74">
        <v>46145.0</v>
      </c>
      <c r="H88" s="60"/>
      <c r="I88" s="61"/>
      <c r="J88" s="60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13" t="s">
        <v>474</v>
      </c>
      <c r="C89" s="13" t="s">
        <v>385</v>
      </c>
      <c r="D89" s="70">
        <v>3.0</v>
      </c>
      <c r="E89" s="70">
        <v>160.0</v>
      </c>
      <c r="F89" s="71">
        <f t="shared" si="1"/>
        <v>53.33333333</v>
      </c>
      <c r="G89" s="72">
        <v>44767.0</v>
      </c>
      <c r="H89" s="60"/>
      <c r="I89" s="6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13" t="s">
        <v>475</v>
      </c>
      <c r="C90" s="13" t="s">
        <v>385</v>
      </c>
      <c r="D90" s="70">
        <v>36.0</v>
      </c>
      <c r="E90" s="70">
        <v>3000.0</v>
      </c>
      <c r="F90" s="71">
        <f t="shared" si="1"/>
        <v>83.33333333</v>
      </c>
      <c r="G90" s="72"/>
      <c r="H90" s="60"/>
      <c r="I90" s="6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13" t="s">
        <v>476</v>
      </c>
      <c r="C91" s="13" t="s">
        <v>385</v>
      </c>
      <c r="D91" s="70">
        <v>1.0</v>
      </c>
      <c r="E91" s="70">
        <v>50.0</v>
      </c>
      <c r="F91" s="71">
        <f t="shared" si="1"/>
        <v>50</v>
      </c>
      <c r="G91" s="72"/>
      <c r="H91" s="60"/>
      <c r="I91" s="6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13" t="s">
        <v>477</v>
      </c>
      <c r="C92" s="13" t="s">
        <v>392</v>
      </c>
      <c r="D92" s="70">
        <v>1000.0</v>
      </c>
      <c r="E92" s="70">
        <v>1200.0</v>
      </c>
      <c r="F92" s="71">
        <f t="shared" si="1"/>
        <v>1.2</v>
      </c>
      <c r="G92" s="72">
        <v>44767.0</v>
      </c>
      <c r="H92" s="60"/>
      <c r="I92" s="6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13" t="s">
        <v>478</v>
      </c>
      <c r="C93" s="13" t="s">
        <v>392</v>
      </c>
      <c r="D93" s="70">
        <v>1000.0</v>
      </c>
      <c r="E93" s="70">
        <v>3000.0</v>
      </c>
      <c r="F93" s="71">
        <f t="shared" si="1"/>
        <v>3</v>
      </c>
      <c r="G93" s="72">
        <v>45276.0</v>
      </c>
      <c r="H93" s="60"/>
      <c r="I93" s="6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13" t="s">
        <v>479</v>
      </c>
      <c r="C94" s="13" t="s">
        <v>385</v>
      </c>
      <c r="D94" s="70">
        <v>1000.0</v>
      </c>
      <c r="E94" s="70">
        <v>4000.0</v>
      </c>
      <c r="F94" s="71">
        <f t="shared" si="1"/>
        <v>4</v>
      </c>
      <c r="G94" s="72">
        <v>45925.0</v>
      </c>
      <c r="H94" s="60"/>
      <c r="I94" s="6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13" t="s">
        <v>480</v>
      </c>
      <c r="C95" s="78" t="s">
        <v>392</v>
      </c>
      <c r="D95" s="70">
        <v>1000.0</v>
      </c>
      <c r="E95" s="70">
        <v>11000.0</v>
      </c>
      <c r="F95" s="71">
        <f t="shared" si="1"/>
        <v>11</v>
      </c>
      <c r="G95" s="72">
        <v>46012.0</v>
      </c>
      <c r="H95" s="60"/>
      <c r="I95" s="6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13" t="s">
        <v>481</v>
      </c>
      <c r="C96" s="13" t="s">
        <v>392</v>
      </c>
      <c r="D96" s="70">
        <v>153.0</v>
      </c>
      <c r="E96" s="76">
        <v>1600.0</v>
      </c>
      <c r="F96" s="71">
        <f t="shared" si="1"/>
        <v>10.45751634</v>
      </c>
      <c r="G96" s="74">
        <v>46145.0</v>
      </c>
      <c r="H96" s="60"/>
      <c r="I96" s="6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13" t="s">
        <v>482</v>
      </c>
      <c r="C97" s="13" t="s">
        <v>392</v>
      </c>
      <c r="D97" s="70">
        <v>1000.0</v>
      </c>
      <c r="E97" s="70">
        <v>18000.0</v>
      </c>
      <c r="F97" s="71">
        <f t="shared" si="1"/>
        <v>18</v>
      </c>
      <c r="G97" s="72">
        <v>45925.0</v>
      </c>
      <c r="H97" s="60"/>
      <c r="I97" s="6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13" t="s">
        <v>483</v>
      </c>
      <c r="C98" s="13" t="s">
        <v>385</v>
      </c>
      <c r="D98" s="70">
        <v>1.0</v>
      </c>
      <c r="E98" s="70">
        <v>1500.0</v>
      </c>
      <c r="F98" s="71">
        <f t="shared" si="1"/>
        <v>1500</v>
      </c>
      <c r="G98" s="72">
        <v>45565.0</v>
      </c>
      <c r="H98" s="60"/>
      <c r="I98" s="6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13" t="s">
        <v>484</v>
      </c>
      <c r="C99" s="13" t="s">
        <v>385</v>
      </c>
      <c r="D99" s="70">
        <v>1.0</v>
      </c>
      <c r="E99" s="70">
        <v>37.0</v>
      </c>
      <c r="F99" s="71">
        <f t="shared" si="1"/>
        <v>37</v>
      </c>
      <c r="G99" s="72"/>
      <c r="H99" s="60"/>
      <c r="I99" s="6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13" t="s">
        <v>485</v>
      </c>
      <c r="C100" s="13" t="s">
        <v>392</v>
      </c>
      <c r="D100" s="70">
        <v>1000.0</v>
      </c>
      <c r="E100" s="70">
        <v>4000.0</v>
      </c>
      <c r="F100" s="71">
        <f t="shared" si="1"/>
        <v>4</v>
      </c>
      <c r="G100" s="72"/>
      <c r="H100" s="60"/>
      <c r="I100" s="6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13" t="s">
        <v>486</v>
      </c>
      <c r="C101" s="13" t="s">
        <v>392</v>
      </c>
      <c r="D101" s="70">
        <v>500.0</v>
      </c>
      <c r="E101" s="70">
        <v>3500.0</v>
      </c>
      <c r="F101" s="71">
        <f t="shared" si="1"/>
        <v>7</v>
      </c>
      <c r="G101" s="72">
        <v>45635.0</v>
      </c>
      <c r="H101" s="60"/>
      <c r="I101" s="6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13" t="s">
        <v>487</v>
      </c>
      <c r="C102" s="13" t="s">
        <v>392</v>
      </c>
      <c r="D102" s="70">
        <v>20000.0</v>
      </c>
      <c r="E102" s="70">
        <v>8200.0</v>
      </c>
      <c r="F102" s="71">
        <f t="shared" si="1"/>
        <v>0.41</v>
      </c>
      <c r="G102" s="72">
        <v>44767.0</v>
      </c>
      <c r="H102" s="60"/>
      <c r="I102" s="6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13" t="s">
        <v>488</v>
      </c>
      <c r="C103" s="13" t="s">
        <v>392</v>
      </c>
      <c r="D103" s="70">
        <v>1000.0</v>
      </c>
      <c r="E103" s="70">
        <v>790.0</v>
      </c>
      <c r="F103" s="71">
        <f t="shared" si="1"/>
        <v>0.79</v>
      </c>
      <c r="G103" s="72">
        <v>45877.0</v>
      </c>
      <c r="H103" s="60"/>
      <c r="I103" s="6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73" t="s">
        <v>489</v>
      </c>
      <c r="C104" s="13" t="s">
        <v>392</v>
      </c>
      <c r="D104" s="76">
        <v>25000.0</v>
      </c>
      <c r="E104" s="76">
        <v>20500.0</v>
      </c>
      <c r="F104" s="71">
        <f t="shared" si="1"/>
        <v>0.82</v>
      </c>
      <c r="G104" s="74">
        <v>46145.0</v>
      </c>
      <c r="H104" s="60"/>
      <c r="I104" s="6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75" t="s">
        <v>490</v>
      </c>
      <c r="C105" s="13" t="s">
        <v>392</v>
      </c>
      <c r="D105" s="76">
        <v>1000.0</v>
      </c>
      <c r="E105" s="76">
        <v>32000.0</v>
      </c>
      <c r="F105" s="71">
        <f t="shared" si="1"/>
        <v>32</v>
      </c>
      <c r="G105" s="79">
        <v>46145.0</v>
      </c>
      <c r="H105" s="60"/>
      <c r="I105" s="6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13" t="s">
        <v>491</v>
      </c>
      <c r="C106" s="13" t="s">
        <v>392</v>
      </c>
      <c r="D106" s="70">
        <v>1000.0</v>
      </c>
      <c r="E106" s="76">
        <v>1500.0</v>
      </c>
      <c r="F106" s="71">
        <f t="shared" si="1"/>
        <v>1.5</v>
      </c>
      <c r="G106" s="74">
        <v>46145.0</v>
      </c>
      <c r="H106" s="60"/>
      <c r="I106" s="6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73" t="s">
        <v>492</v>
      </c>
      <c r="C107" s="13" t="s">
        <v>385</v>
      </c>
      <c r="D107" s="70">
        <v>30.0</v>
      </c>
      <c r="E107" s="70">
        <v>5000.0</v>
      </c>
      <c r="F107" s="71">
        <f t="shared" si="1"/>
        <v>166.6666667</v>
      </c>
      <c r="G107" s="74">
        <v>46145.0</v>
      </c>
      <c r="H107" s="60"/>
      <c r="I107" s="6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13" t="s">
        <v>493</v>
      </c>
      <c r="C108" s="13" t="s">
        <v>392</v>
      </c>
      <c r="D108" s="70">
        <v>1000.0</v>
      </c>
      <c r="E108" s="70">
        <v>20000.0</v>
      </c>
      <c r="F108" s="71">
        <f t="shared" si="1"/>
        <v>20</v>
      </c>
      <c r="G108" s="72">
        <v>45635.0</v>
      </c>
      <c r="H108" s="60"/>
      <c r="I108" s="6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13" t="s">
        <v>494</v>
      </c>
      <c r="C109" s="13" t="s">
        <v>385</v>
      </c>
      <c r="D109" s="70">
        <v>10.0</v>
      </c>
      <c r="E109" s="70">
        <v>980.0</v>
      </c>
      <c r="F109" s="71">
        <f t="shared" si="1"/>
        <v>98</v>
      </c>
      <c r="G109" s="72">
        <v>45281.0</v>
      </c>
      <c r="H109" s="60"/>
      <c r="I109" s="6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13" t="s">
        <v>495</v>
      </c>
      <c r="C110" s="13" t="s">
        <v>385</v>
      </c>
      <c r="D110" s="70">
        <v>1.0</v>
      </c>
      <c r="E110" s="70">
        <v>2000.0</v>
      </c>
      <c r="F110" s="71">
        <f t="shared" si="1"/>
        <v>2000</v>
      </c>
      <c r="G110" s="72">
        <v>45925.0</v>
      </c>
      <c r="H110" s="60"/>
      <c r="I110" s="6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75" t="s">
        <v>496</v>
      </c>
      <c r="C111" s="13" t="s">
        <v>389</v>
      </c>
      <c r="D111" s="70">
        <v>12000.0</v>
      </c>
      <c r="E111" s="70">
        <v>25200.0</v>
      </c>
      <c r="F111" s="71">
        <f t="shared" si="1"/>
        <v>2.1</v>
      </c>
      <c r="G111" s="72">
        <v>46096.0</v>
      </c>
      <c r="H111" s="60"/>
      <c r="I111" s="6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13" t="s">
        <v>497</v>
      </c>
      <c r="C112" s="13" t="s">
        <v>392</v>
      </c>
      <c r="D112" s="70">
        <v>395.0</v>
      </c>
      <c r="E112" s="70">
        <v>2290.0</v>
      </c>
      <c r="F112" s="71">
        <f t="shared" si="1"/>
        <v>5.797468354</v>
      </c>
      <c r="G112" s="72">
        <v>45565.0</v>
      </c>
      <c r="H112" s="60"/>
      <c r="I112" s="6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13" t="s">
        <v>498</v>
      </c>
      <c r="C113" s="13" t="s">
        <v>392</v>
      </c>
      <c r="D113" s="70">
        <v>1000.0</v>
      </c>
      <c r="E113" s="70">
        <v>1500.0</v>
      </c>
      <c r="F113" s="71">
        <f t="shared" si="1"/>
        <v>1.5</v>
      </c>
      <c r="G113" s="72">
        <v>45017.0</v>
      </c>
      <c r="H113" s="60"/>
      <c r="I113" s="6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13" t="s">
        <v>499</v>
      </c>
      <c r="C114" s="13" t="s">
        <v>392</v>
      </c>
      <c r="D114" s="70">
        <v>500.0</v>
      </c>
      <c r="E114" s="76">
        <v>4000.0</v>
      </c>
      <c r="F114" s="71">
        <f t="shared" si="1"/>
        <v>8</v>
      </c>
      <c r="G114" s="74">
        <v>46145.0</v>
      </c>
      <c r="H114" s="60"/>
      <c r="I114" s="6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13" t="s">
        <v>500</v>
      </c>
      <c r="C115" s="13" t="s">
        <v>385</v>
      </c>
      <c r="D115" s="70">
        <v>5.0</v>
      </c>
      <c r="E115" s="70">
        <v>900.0</v>
      </c>
      <c r="F115" s="71">
        <f t="shared" si="1"/>
        <v>180</v>
      </c>
      <c r="G115" s="72">
        <v>45565.0</v>
      </c>
      <c r="H115" s="60"/>
      <c r="I115" s="6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75" t="s">
        <v>501</v>
      </c>
      <c r="C116" s="13" t="s">
        <v>392</v>
      </c>
      <c r="D116" s="70">
        <v>1000.0</v>
      </c>
      <c r="E116" s="70">
        <v>2800.0</v>
      </c>
      <c r="F116" s="71">
        <f t="shared" si="1"/>
        <v>2.8</v>
      </c>
      <c r="G116" s="74">
        <v>46145.0</v>
      </c>
      <c r="H116" s="60"/>
      <c r="I116" s="6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13" t="s">
        <v>502</v>
      </c>
      <c r="C117" s="13" t="s">
        <v>385</v>
      </c>
      <c r="D117" s="70">
        <v>10.0</v>
      </c>
      <c r="E117" s="70">
        <v>670.0</v>
      </c>
      <c r="F117" s="71">
        <f t="shared" si="1"/>
        <v>67</v>
      </c>
      <c r="G117" s="72">
        <v>45017.0</v>
      </c>
      <c r="H117" s="60"/>
      <c r="I117" s="6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13" t="s">
        <v>503</v>
      </c>
      <c r="C118" s="13" t="s">
        <v>385</v>
      </c>
      <c r="D118" s="70">
        <v>1.0</v>
      </c>
      <c r="E118" s="70">
        <v>400.0</v>
      </c>
      <c r="F118" s="71">
        <f t="shared" si="1"/>
        <v>400</v>
      </c>
      <c r="G118" s="72">
        <v>45565.0</v>
      </c>
      <c r="H118" s="60"/>
      <c r="I118" s="6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73" t="s">
        <v>504</v>
      </c>
      <c r="C119" s="13" t="s">
        <v>385</v>
      </c>
      <c r="D119" s="70">
        <v>1.0</v>
      </c>
      <c r="E119" s="70">
        <v>400.0</v>
      </c>
      <c r="F119" s="71">
        <f t="shared" si="1"/>
        <v>400</v>
      </c>
      <c r="G119" s="74">
        <v>46145.0</v>
      </c>
      <c r="H119" s="60"/>
      <c r="I119" s="6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73" t="s">
        <v>505</v>
      </c>
      <c r="C120" s="13" t="s">
        <v>392</v>
      </c>
      <c r="D120" s="70">
        <v>5000.0</v>
      </c>
      <c r="E120" s="70">
        <v>55000.0</v>
      </c>
      <c r="F120" s="71">
        <f t="shared" si="1"/>
        <v>11</v>
      </c>
      <c r="G120" s="74">
        <v>46145.0</v>
      </c>
      <c r="H120" s="60"/>
      <c r="I120" s="6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13" t="s">
        <v>506</v>
      </c>
      <c r="C121" s="13" t="s">
        <v>392</v>
      </c>
      <c r="D121" s="70">
        <v>1000.0</v>
      </c>
      <c r="E121" s="70">
        <v>800.0</v>
      </c>
      <c r="F121" s="71">
        <f t="shared" si="1"/>
        <v>0.8</v>
      </c>
      <c r="G121" s="72">
        <v>44980.0</v>
      </c>
      <c r="H121" s="60"/>
      <c r="I121" s="6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13" t="s">
        <v>507</v>
      </c>
      <c r="C122" s="13" t="s">
        <v>392</v>
      </c>
      <c r="D122" s="70">
        <v>20000.0</v>
      </c>
      <c r="E122" s="70">
        <v>3000.0</v>
      </c>
      <c r="F122" s="71">
        <f t="shared" si="1"/>
        <v>0.15</v>
      </c>
      <c r="G122" s="72">
        <v>44980.0</v>
      </c>
      <c r="H122" s="60"/>
      <c r="I122" s="6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13" t="s">
        <v>508</v>
      </c>
      <c r="C123" s="13" t="s">
        <v>385</v>
      </c>
      <c r="D123" s="70">
        <v>150.0</v>
      </c>
      <c r="E123" s="70">
        <v>500.0</v>
      </c>
      <c r="F123" s="71">
        <f t="shared" si="1"/>
        <v>3.333333333</v>
      </c>
      <c r="G123" s="72">
        <v>44559.0</v>
      </c>
      <c r="H123" s="60"/>
      <c r="I123" s="6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13" t="s">
        <v>509</v>
      </c>
      <c r="C124" s="13" t="s">
        <v>392</v>
      </c>
      <c r="D124" s="70">
        <v>1000.0</v>
      </c>
      <c r="E124" s="70">
        <v>3480.0</v>
      </c>
      <c r="F124" s="71">
        <f t="shared" si="1"/>
        <v>3.48</v>
      </c>
      <c r="G124" s="72">
        <v>45017.0</v>
      </c>
      <c r="H124" s="60"/>
      <c r="I124" s="6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13" t="s">
        <v>510</v>
      </c>
      <c r="C125" s="13" t="s">
        <v>392</v>
      </c>
      <c r="D125" s="70">
        <v>1000.0</v>
      </c>
      <c r="E125" s="70">
        <v>3890.0</v>
      </c>
      <c r="F125" s="71">
        <f t="shared" si="1"/>
        <v>3.89</v>
      </c>
      <c r="G125" s="72">
        <v>45269.0</v>
      </c>
      <c r="H125" s="60"/>
      <c r="I125" s="6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13" t="s">
        <v>511</v>
      </c>
      <c r="C126" s="13" t="s">
        <v>392</v>
      </c>
      <c r="D126" s="76">
        <v>100.0</v>
      </c>
      <c r="E126" s="70">
        <v>2300.0</v>
      </c>
      <c r="F126" s="71">
        <f t="shared" si="1"/>
        <v>23</v>
      </c>
      <c r="G126" s="74">
        <v>46145.0</v>
      </c>
      <c r="H126" s="60"/>
      <c r="I126" s="6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13" t="s">
        <v>512</v>
      </c>
      <c r="C127" s="13" t="s">
        <v>392</v>
      </c>
      <c r="D127" s="70">
        <v>1000.0</v>
      </c>
      <c r="E127" s="76">
        <v>8500.0</v>
      </c>
      <c r="F127" s="71">
        <f t="shared" si="1"/>
        <v>8.5</v>
      </c>
      <c r="G127" s="74">
        <v>46145.0</v>
      </c>
      <c r="H127" s="60"/>
      <c r="I127" s="6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13" t="s">
        <v>513</v>
      </c>
      <c r="C128" s="13" t="s">
        <v>389</v>
      </c>
      <c r="D128" s="70">
        <v>1000.0</v>
      </c>
      <c r="E128" s="76">
        <v>4500.0</v>
      </c>
      <c r="F128" s="71">
        <f t="shared" si="1"/>
        <v>4.5</v>
      </c>
      <c r="G128" s="74">
        <v>46145.0</v>
      </c>
      <c r="H128" s="60"/>
      <c r="I128" s="6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13" t="s">
        <v>514</v>
      </c>
      <c r="C129" s="13" t="s">
        <v>392</v>
      </c>
      <c r="D129" s="70">
        <v>1000.0</v>
      </c>
      <c r="E129" s="70">
        <v>16000.0</v>
      </c>
      <c r="F129" s="71">
        <f t="shared" si="1"/>
        <v>16</v>
      </c>
      <c r="G129" s="72">
        <v>45877.0</v>
      </c>
      <c r="H129" s="60"/>
      <c r="I129" s="6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13" t="s">
        <v>515</v>
      </c>
      <c r="C130" s="13" t="s">
        <v>385</v>
      </c>
      <c r="D130" s="70">
        <v>1.0</v>
      </c>
      <c r="E130" s="70">
        <f>60/5</f>
        <v>12</v>
      </c>
      <c r="F130" s="71">
        <f t="shared" si="1"/>
        <v>12</v>
      </c>
      <c r="G130" s="72">
        <v>44559.0</v>
      </c>
      <c r="H130" s="60"/>
      <c r="I130" s="6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13" t="s">
        <v>516</v>
      </c>
      <c r="C131" s="13" t="s">
        <v>392</v>
      </c>
      <c r="D131" s="70">
        <v>1000.0</v>
      </c>
      <c r="E131" s="76">
        <v>19000.0</v>
      </c>
      <c r="F131" s="71">
        <f t="shared" si="1"/>
        <v>19</v>
      </c>
      <c r="G131" s="74">
        <v>46145.0</v>
      </c>
      <c r="H131" s="60"/>
      <c r="I131" s="6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13" t="s">
        <v>517</v>
      </c>
      <c r="C132" s="13" t="s">
        <v>392</v>
      </c>
      <c r="D132" s="70">
        <v>350.0</v>
      </c>
      <c r="E132" s="76">
        <v>11000.0</v>
      </c>
      <c r="F132" s="71">
        <f t="shared" si="1"/>
        <v>31.42857143</v>
      </c>
      <c r="G132" s="74">
        <v>46145.0</v>
      </c>
      <c r="H132" s="60"/>
      <c r="I132" s="6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13" t="s">
        <v>518</v>
      </c>
      <c r="C133" s="13" t="s">
        <v>392</v>
      </c>
      <c r="D133" s="70">
        <v>50.0</v>
      </c>
      <c r="E133" s="70">
        <v>110.0</v>
      </c>
      <c r="F133" s="71">
        <f t="shared" si="1"/>
        <v>2.2</v>
      </c>
      <c r="G133" s="72">
        <v>71.0</v>
      </c>
      <c r="H133" s="60"/>
      <c r="I133" s="6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77" t="s">
        <v>519</v>
      </c>
      <c r="C134" s="13" t="s">
        <v>392</v>
      </c>
      <c r="D134" s="70">
        <v>117.0</v>
      </c>
      <c r="E134" s="70">
        <v>1700.0</v>
      </c>
      <c r="F134" s="71">
        <f t="shared" si="1"/>
        <v>14.52991453</v>
      </c>
      <c r="G134" s="74">
        <v>46145.0</v>
      </c>
      <c r="H134" s="60"/>
      <c r="I134" s="6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13" t="s">
        <v>520</v>
      </c>
      <c r="C135" s="13" t="s">
        <v>385</v>
      </c>
      <c r="D135" s="70">
        <v>50.0</v>
      </c>
      <c r="E135" s="70">
        <v>4600.0</v>
      </c>
      <c r="F135" s="71">
        <f t="shared" si="1"/>
        <v>92</v>
      </c>
      <c r="G135" s="72">
        <v>44766.0</v>
      </c>
      <c r="H135" s="60"/>
      <c r="I135" s="6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13" t="s">
        <v>521</v>
      </c>
      <c r="C136" s="13" t="s">
        <v>385</v>
      </c>
      <c r="D136" s="70">
        <v>10.0</v>
      </c>
      <c r="E136" s="70">
        <v>150.0</v>
      </c>
      <c r="F136" s="71">
        <f t="shared" si="1"/>
        <v>15</v>
      </c>
      <c r="G136" s="72"/>
      <c r="H136" s="60"/>
      <c r="I136" s="6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13" t="s">
        <v>522</v>
      </c>
      <c r="C137" s="13" t="s">
        <v>385</v>
      </c>
      <c r="D137" s="70">
        <v>50.0</v>
      </c>
      <c r="E137" s="70">
        <v>550.0</v>
      </c>
      <c r="F137" s="71">
        <f t="shared" si="1"/>
        <v>11</v>
      </c>
      <c r="G137" s="72"/>
      <c r="H137" s="60"/>
      <c r="I137" s="6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13" t="s">
        <v>523</v>
      </c>
      <c r="C138" s="13" t="s">
        <v>392</v>
      </c>
      <c r="D138" s="70">
        <v>250.0</v>
      </c>
      <c r="E138" s="70">
        <v>950.0</v>
      </c>
      <c r="F138" s="71">
        <f t="shared" si="1"/>
        <v>3.8</v>
      </c>
      <c r="G138" s="72">
        <v>45279.0</v>
      </c>
      <c r="H138" s="60"/>
      <c r="I138" s="6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80" t="s">
        <v>524</v>
      </c>
      <c r="C139" s="13" t="s">
        <v>392</v>
      </c>
      <c r="D139" s="70">
        <v>500.0</v>
      </c>
      <c r="E139" s="76">
        <v>4000.0</v>
      </c>
      <c r="F139" s="71">
        <f t="shared" si="1"/>
        <v>8</v>
      </c>
      <c r="G139" s="74">
        <v>46145.0</v>
      </c>
      <c r="H139" s="60"/>
      <c r="I139" s="6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80" t="s">
        <v>525</v>
      </c>
      <c r="C140" s="13" t="s">
        <v>392</v>
      </c>
      <c r="D140" s="70">
        <v>500.0</v>
      </c>
      <c r="E140" s="76">
        <v>4800.0</v>
      </c>
      <c r="F140" s="71">
        <f t="shared" si="1"/>
        <v>9.6</v>
      </c>
      <c r="G140" s="74">
        <v>46145.0</v>
      </c>
      <c r="H140" s="60"/>
      <c r="I140" s="6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13" t="s">
        <v>526</v>
      </c>
      <c r="C141" s="13" t="s">
        <v>392</v>
      </c>
      <c r="D141" s="70">
        <v>2000.0</v>
      </c>
      <c r="E141" s="70">
        <v>13000.0</v>
      </c>
      <c r="F141" s="71">
        <f t="shared" si="1"/>
        <v>6.5</v>
      </c>
      <c r="G141" s="72">
        <v>45017.0</v>
      </c>
      <c r="H141" s="60"/>
      <c r="I141" s="6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13" t="s">
        <v>527</v>
      </c>
      <c r="C142" s="13" t="s">
        <v>385</v>
      </c>
      <c r="D142" s="70">
        <v>12.0</v>
      </c>
      <c r="E142" s="70">
        <v>2500.0</v>
      </c>
      <c r="F142" s="71">
        <f t="shared" si="1"/>
        <v>208.3333333</v>
      </c>
      <c r="G142" s="72">
        <v>45863.0</v>
      </c>
      <c r="H142" s="60"/>
      <c r="I142" s="6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75" t="s">
        <v>528</v>
      </c>
      <c r="C143" s="13" t="s">
        <v>392</v>
      </c>
      <c r="D143" s="70">
        <v>1000.0</v>
      </c>
      <c r="E143" s="70">
        <v>8000.0</v>
      </c>
      <c r="F143" s="71">
        <f t="shared" si="1"/>
        <v>8</v>
      </c>
      <c r="G143" s="74">
        <v>46147.0</v>
      </c>
      <c r="H143" s="60"/>
      <c r="I143" s="6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13" t="s">
        <v>529</v>
      </c>
      <c r="C144" s="13" t="s">
        <v>385</v>
      </c>
      <c r="D144" s="70">
        <v>1.0</v>
      </c>
      <c r="E144" s="70">
        <v>180.0</v>
      </c>
      <c r="F144" s="71">
        <f t="shared" si="1"/>
        <v>180</v>
      </c>
      <c r="G144" s="72"/>
      <c r="H144" s="60"/>
      <c r="I144" s="6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13" t="s">
        <v>530</v>
      </c>
      <c r="C145" s="13" t="s">
        <v>385</v>
      </c>
      <c r="D145" s="70">
        <v>25.0</v>
      </c>
      <c r="E145" s="70">
        <v>275.0</v>
      </c>
      <c r="F145" s="71">
        <f t="shared" si="1"/>
        <v>11</v>
      </c>
      <c r="G145" s="72"/>
      <c r="H145" s="60"/>
      <c r="I145" s="6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13" t="s">
        <v>531</v>
      </c>
      <c r="C146" s="13" t="s">
        <v>385</v>
      </c>
      <c r="D146" s="70">
        <v>25.0</v>
      </c>
      <c r="E146" s="70">
        <v>325.0</v>
      </c>
      <c r="F146" s="71">
        <f t="shared" si="1"/>
        <v>13</v>
      </c>
      <c r="G146" s="72"/>
      <c r="H146" s="60"/>
      <c r="I146" s="6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13" t="s">
        <v>532</v>
      </c>
      <c r="C147" s="13" t="s">
        <v>392</v>
      </c>
      <c r="D147" s="70">
        <v>1000.0</v>
      </c>
      <c r="E147" s="70">
        <v>7000.0</v>
      </c>
      <c r="F147" s="71">
        <f t="shared" si="1"/>
        <v>7</v>
      </c>
      <c r="G147" s="72">
        <v>45565.0</v>
      </c>
      <c r="H147" s="60"/>
      <c r="I147" s="6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75" t="s">
        <v>533</v>
      </c>
      <c r="C148" s="13" t="s">
        <v>392</v>
      </c>
      <c r="D148" s="70">
        <v>3500.0</v>
      </c>
      <c r="E148" s="70">
        <v>26000.0</v>
      </c>
      <c r="F148" s="71">
        <f t="shared" si="1"/>
        <v>7.428571429</v>
      </c>
      <c r="G148" s="74">
        <v>46147.0</v>
      </c>
      <c r="H148" s="60"/>
      <c r="I148" s="6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13" t="s">
        <v>534</v>
      </c>
      <c r="C149" s="13" t="s">
        <v>392</v>
      </c>
      <c r="D149" s="70">
        <v>1000.0</v>
      </c>
      <c r="E149" s="70">
        <v>16000.0</v>
      </c>
      <c r="F149" s="71">
        <f t="shared" si="1"/>
        <v>16</v>
      </c>
      <c r="G149" s="72"/>
      <c r="H149" s="60"/>
      <c r="I149" s="6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13" t="s">
        <v>535</v>
      </c>
      <c r="C150" s="13" t="s">
        <v>392</v>
      </c>
      <c r="D150" s="70">
        <v>1000.0</v>
      </c>
      <c r="E150" s="70">
        <v>18000.0</v>
      </c>
      <c r="F150" s="71">
        <f t="shared" si="1"/>
        <v>18</v>
      </c>
      <c r="G150" s="72">
        <v>45877.0</v>
      </c>
      <c r="H150" s="60"/>
      <c r="I150" s="6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13" t="s">
        <v>536</v>
      </c>
      <c r="C151" s="13" t="s">
        <v>392</v>
      </c>
      <c r="D151" s="70">
        <v>250.0</v>
      </c>
      <c r="E151" s="70">
        <v>2300.0</v>
      </c>
      <c r="F151" s="71">
        <f t="shared" si="1"/>
        <v>9.2</v>
      </c>
      <c r="G151" s="72"/>
      <c r="H151" s="60"/>
      <c r="I151" s="6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7.25" customHeight="1">
      <c r="A152" s="2"/>
      <c r="B152" s="13" t="s">
        <v>537</v>
      </c>
      <c r="C152" s="13" t="s">
        <v>392</v>
      </c>
      <c r="D152" s="70">
        <v>1000.0</v>
      </c>
      <c r="E152" s="70">
        <v>2500.0</v>
      </c>
      <c r="F152" s="71">
        <f t="shared" si="1"/>
        <v>2.5</v>
      </c>
      <c r="G152" s="72">
        <v>45411.0</v>
      </c>
      <c r="H152" s="60"/>
      <c r="I152" s="6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13" t="s">
        <v>538</v>
      </c>
      <c r="C153" s="13" t="s">
        <v>392</v>
      </c>
      <c r="D153" s="70">
        <v>500.0</v>
      </c>
      <c r="E153" s="70">
        <v>3500.0</v>
      </c>
      <c r="F153" s="71">
        <f t="shared" si="1"/>
        <v>7</v>
      </c>
      <c r="G153" s="72">
        <v>45565.0</v>
      </c>
      <c r="H153" s="60"/>
      <c r="I153" s="6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13" t="s">
        <v>539</v>
      </c>
      <c r="C154" s="13" t="s">
        <v>392</v>
      </c>
      <c r="D154" s="70">
        <v>1000.0</v>
      </c>
      <c r="E154" s="70">
        <v>1800.0</v>
      </c>
      <c r="F154" s="71">
        <f t="shared" si="1"/>
        <v>1.8</v>
      </c>
      <c r="G154" s="72">
        <v>45017.0</v>
      </c>
      <c r="H154" s="60"/>
      <c r="I154" s="6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0" customHeight="1">
      <c r="A155" s="2"/>
      <c r="B155" s="13" t="s">
        <v>540</v>
      </c>
      <c r="C155" s="13" t="s">
        <v>392</v>
      </c>
      <c r="D155" s="70">
        <v>100.0</v>
      </c>
      <c r="E155" s="70">
        <v>400.0</v>
      </c>
      <c r="F155" s="71">
        <f t="shared" si="1"/>
        <v>4</v>
      </c>
      <c r="G155" s="72">
        <v>45017.0</v>
      </c>
      <c r="H155" s="60"/>
      <c r="I155" s="6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9.5" customHeight="1">
      <c r="A156" s="2"/>
      <c r="B156" s="13" t="s">
        <v>541</v>
      </c>
      <c r="C156" s="13" t="s">
        <v>392</v>
      </c>
      <c r="D156" s="70">
        <v>250.0</v>
      </c>
      <c r="E156" s="76">
        <v>12000.0</v>
      </c>
      <c r="F156" s="71">
        <f t="shared" si="1"/>
        <v>48</v>
      </c>
      <c r="G156" s="74">
        <v>46145.0</v>
      </c>
      <c r="H156" s="60"/>
      <c r="I156" s="6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9.5" customHeight="1">
      <c r="A157" s="2"/>
      <c r="B157" s="13" t="s">
        <v>542</v>
      </c>
      <c r="C157" s="13" t="s">
        <v>392</v>
      </c>
      <c r="D157" s="70">
        <v>340.0</v>
      </c>
      <c r="E157" s="70">
        <v>800.0</v>
      </c>
      <c r="F157" s="71">
        <f t="shared" si="1"/>
        <v>2.352941176</v>
      </c>
      <c r="G157" s="72">
        <v>44767.0</v>
      </c>
      <c r="H157" s="60"/>
      <c r="I157" s="6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0" customHeight="1">
      <c r="A158" s="2"/>
      <c r="B158" s="13" t="s">
        <v>543</v>
      </c>
      <c r="C158" s="13" t="s">
        <v>392</v>
      </c>
      <c r="D158" s="70">
        <v>10000.0</v>
      </c>
      <c r="E158" s="70">
        <v>11000.0</v>
      </c>
      <c r="F158" s="71">
        <f t="shared" si="1"/>
        <v>1.1</v>
      </c>
      <c r="G158" s="72">
        <v>45877.0</v>
      </c>
      <c r="H158" s="60"/>
      <c r="I158" s="6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2"/>
      <c r="B159" s="13" t="s">
        <v>544</v>
      </c>
      <c r="C159" s="13" t="s">
        <v>392</v>
      </c>
      <c r="D159" s="70">
        <v>100.0</v>
      </c>
      <c r="E159" s="70">
        <v>3000.0</v>
      </c>
      <c r="F159" s="71">
        <f t="shared" si="1"/>
        <v>30</v>
      </c>
      <c r="G159" s="72" t="s">
        <v>545</v>
      </c>
      <c r="H159" s="60"/>
      <c r="I159" s="6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0" customHeight="1">
      <c r="A160" s="2"/>
      <c r="B160" s="13" t="s">
        <v>546</v>
      </c>
      <c r="C160" s="13" t="s">
        <v>385</v>
      </c>
      <c r="D160" s="70">
        <v>24.0</v>
      </c>
      <c r="E160" s="70">
        <v>1100.0</v>
      </c>
      <c r="F160" s="71">
        <f t="shared" si="1"/>
        <v>45.83333333</v>
      </c>
      <c r="G160" s="72"/>
      <c r="H160" s="60"/>
      <c r="I160" s="6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0" customHeight="1">
      <c r="A161" s="2"/>
      <c r="B161" s="13" t="s">
        <v>547</v>
      </c>
      <c r="C161" s="13" t="s">
        <v>385</v>
      </c>
      <c r="D161" s="70">
        <v>1.0</v>
      </c>
      <c r="E161" s="70">
        <v>6000.0</v>
      </c>
      <c r="F161" s="71">
        <f t="shared" si="1"/>
        <v>6000</v>
      </c>
      <c r="G161" s="72">
        <v>45863.0</v>
      </c>
      <c r="H161" s="60"/>
      <c r="I161" s="6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0" customHeight="1">
      <c r="A162" s="2"/>
      <c r="B162" s="13" t="s">
        <v>548</v>
      </c>
      <c r="C162" s="13" t="s">
        <v>392</v>
      </c>
      <c r="D162" s="70">
        <v>1000.0</v>
      </c>
      <c r="E162" s="70">
        <v>750.0</v>
      </c>
      <c r="F162" s="71">
        <f t="shared" si="1"/>
        <v>0.75</v>
      </c>
      <c r="G162" s="72">
        <v>45017.0</v>
      </c>
      <c r="H162" s="60"/>
      <c r="I162" s="6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0" customHeight="1">
      <c r="A163" s="2"/>
      <c r="B163" s="13" t="s">
        <v>549</v>
      </c>
      <c r="C163" s="13" t="s">
        <v>392</v>
      </c>
      <c r="D163" s="70">
        <v>1000.0</v>
      </c>
      <c r="E163" s="70">
        <v>6000.0</v>
      </c>
      <c r="F163" s="71">
        <f t="shared" si="1"/>
        <v>6</v>
      </c>
      <c r="G163" s="72"/>
      <c r="H163" s="60"/>
      <c r="I163" s="6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0" customHeight="1">
      <c r="A164" s="2"/>
      <c r="B164" s="13" t="s">
        <v>550</v>
      </c>
      <c r="C164" s="13" t="s">
        <v>385</v>
      </c>
      <c r="D164" s="70">
        <v>36.0</v>
      </c>
      <c r="E164" s="76">
        <v>4200.0</v>
      </c>
      <c r="F164" s="71">
        <f t="shared" si="1"/>
        <v>116.6666667</v>
      </c>
      <c r="G164" s="74">
        <v>46145.0</v>
      </c>
      <c r="H164" s="60"/>
      <c r="I164" s="6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0" customHeight="1">
      <c r="A165" s="2"/>
      <c r="B165" s="13" t="s">
        <v>551</v>
      </c>
      <c r="C165" s="13" t="s">
        <v>385</v>
      </c>
      <c r="D165" s="70">
        <v>100.0</v>
      </c>
      <c r="E165" s="70">
        <v>14600.0</v>
      </c>
      <c r="F165" s="71">
        <f t="shared" si="1"/>
        <v>146</v>
      </c>
      <c r="G165" s="72">
        <v>45565.0</v>
      </c>
      <c r="H165" s="60"/>
      <c r="I165" s="6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2"/>
      <c r="B166" s="13" t="s">
        <v>552</v>
      </c>
      <c r="C166" s="13" t="s">
        <v>392</v>
      </c>
      <c r="D166" s="70">
        <v>1000.0</v>
      </c>
      <c r="E166" s="70">
        <v>6000.0</v>
      </c>
      <c r="F166" s="71">
        <f t="shared" si="1"/>
        <v>6</v>
      </c>
      <c r="G166" s="72">
        <v>45565.0</v>
      </c>
      <c r="H166" s="60"/>
      <c r="I166" s="6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2"/>
      <c r="B167" s="13" t="s">
        <v>553</v>
      </c>
      <c r="C167" s="13" t="s">
        <v>392</v>
      </c>
      <c r="D167" s="70">
        <v>1000.0</v>
      </c>
      <c r="E167" s="70">
        <v>1350.0</v>
      </c>
      <c r="F167" s="71">
        <f t="shared" si="1"/>
        <v>1.35</v>
      </c>
      <c r="G167" s="72">
        <v>45565.0</v>
      </c>
      <c r="H167" s="60"/>
      <c r="I167" s="6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2"/>
      <c r="B168" s="13" t="s">
        <v>554</v>
      </c>
      <c r="C168" s="13" t="s">
        <v>385</v>
      </c>
      <c r="D168" s="70">
        <v>1.0</v>
      </c>
      <c r="E168" s="70">
        <v>900.0</v>
      </c>
      <c r="F168" s="71">
        <f t="shared" si="1"/>
        <v>900</v>
      </c>
      <c r="G168" s="72">
        <v>45573.0</v>
      </c>
      <c r="H168" s="60"/>
      <c r="I168" s="6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2"/>
      <c r="B169" s="13" t="s">
        <v>555</v>
      </c>
      <c r="C169" s="13" t="s">
        <v>385</v>
      </c>
      <c r="D169" s="70">
        <v>1.0</v>
      </c>
      <c r="E169" s="70">
        <v>314.0</v>
      </c>
      <c r="F169" s="71">
        <f t="shared" si="1"/>
        <v>314</v>
      </c>
      <c r="G169" s="72">
        <v>45573.0</v>
      </c>
      <c r="H169" s="60"/>
      <c r="I169" s="6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2"/>
      <c r="B170" s="80" t="s">
        <v>556</v>
      </c>
      <c r="C170" s="13" t="s">
        <v>389</v>
      </c>
      <c r="D170" s="70">
        <v>1000.0</v>
      </c>
      <c r="E170" s="76">
        <v>11000.0</v>
      </c>
      <c r="F170" s="71">
        <v>9400.0</v>
      </c>
      <c r="G170" s="74">
        <v>46145.0</v>
      </c>
      <c r="H170" s="60"/>
      <c r="I170" s="6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1.25" customHeight="1">
      <c r="A171" s="2"/>
      <c r="B171" s="13" t="s">
        <v>557</v>
      </c>
      <c r="C171" s="13" t="s">
        <v>392</v>
      </c>
      <c r="D171" s="70">
        <v>400.0</v>
      </c>
      <c r="E171" s="70">
        <v>130.0</v>
      </c>
      <c r="F171" s="71">
        <f t="shared" ref="F171:F173" si="2">E171/D171</f>
        <v>0.325</v>
      </c>
      <c r="G171" s="72">
        <v>45881.0</v>
      </c>
      <c r="H171" s="60"/>
      <c r="I171" s="6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1.25" customHeight="1">
      <c r="A172" s="2"/>
      <c r="B172" s="13" t="s">
        <v>558</v>
      </c>
      <c r="C172" s="13" t="s">
        <v>392</v>
      </c>
      <c r="D172" s="70">
        <v>400.0</v>
      </c>
      <c r="E172" s="70">
        <v>4500.0</v>
      </c>
      <c r="F172" s="71">
        <f t="shared" si="2"/>
        <v>11.25</v>
      </c>
      <c r="G172" s="74">
        <v>46086.0</v>
      </c>
      <c r="H172" s="60"/>
      <c r="I172" s="6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1.25" customHeight="1">
      <c r="A173" s="2"/>
      <c r="B173" s="13" t="s">
        <v>559</v>
      </c>
      <c r="C173" s="13" t="s">
        <v>392</v>
      </c>
      <c r="D173" s="70">
        <v>500.0</v>
      </c>
      <c r="E173" s="70">
        <v>2500.0</v>
      </c>
      <c r="F173" s="71">
        <f t="shared" si="2"/>
        <v>5</v>
      </c>
      <c r="G173" s="74">
        <v>46145.0</v>
      </c>
      <c r="H173" s="60"/>
      <c r="I173" s="6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1.25" customHeight="1">
      <c r="A174" s="2"/>
      <c r="B174" s="13"/>
      <c r="C174" s="13"/>
      <c r="D174" s="70"/>
      <c r="E174" s="70"/>
      <c r="F174" s="71"/>
      <c r="G174" s="72"/>
      <c r="H174" s="60"/>
      <c r="I174" s="6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1.25" customHeight="1">
      <c r="A175" s="2"/>
      <c r="B175" s="13"/>
      <c r="C175" s="13"/>
      <c r="D175" s="70"/>
      <c r="E175" s="70"/>
      <c r="F175" s="71"/>
      <c r="G175" s="72"/>
      <c r="H175" s="60"/>
      <c r="I175" s="6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2"/>
      <c r="B176" s="81"/>
      <c r="C176" s="81"/>
      <c r="D176" s="82"/>
      <c r="E176" s="82"/>
      <c r="F176" s="82"/>
      <c r="G176" s="83"/>
      <c r="H176" s="60"/>
      <c r="I176" s="6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21.75" customHeight="1">
      <c r="A177" s="2"/>
      <c r="B177" s="2"/>
      <c r="C177" s="2"/>
      <c r="D177" s="2"/>
      <c r="E177" s="2"/>
      <c r="F177" s="2"/>
      <c r="G177" s="2"/>
      <c r="H177" s="60"/>
      <c r="I177" s="6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2"/>
      <c r="B178" s="2"/>
      <c r="C178" s="2"/>
      <c r="D178" s="2"/>
      <c r="E178" s="2"/>
      <c r="F178" s="2"/>
      <c r="G178" s="2"/>
      <c r="H178" s="60"/>
      <c r="I178" s="6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6.75" customHeight="1">
      <c r="A179" s="61"/>
      <c r="B179" s="61"/>
      <c r="C179" s="61"/>
      <c r="D179" s="61"/>
      <c r="E179" s="61"/>
      <c r="F179" s="61"/>
      <c r="G179" s="61"/>
      <c r="H179" s="84"/>
      <c r="I179" s="6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2"/>
      <c r="B180" s="2"/>
      <c r="C180" s="2"/>
      <c r="D180" s="2"/>
      <c r="E180" s="2"/>
      <c r="F180" s="2"/>
      <c r="G180" s="2"/>
      <c r="H180" s="60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2"/>
      <c r="B181" s="2"/>
      <c r="C181" s="2"/>
      <c r="D181" s="2"/>
      <c r="E181" s="2"/>
      <c r="F181" s="2"/>
      <c r="G181" s="2"/>
      <c r="H181" s="60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2"/>
      <c r="B182" s="2"/>
      <c r="C182" s="2"/>
      <c r="D182" s="2"/>
      <c r="E182" s="2"/>
      <c r="F182" s="2"/>
      <c r="G182" s="2"/>
      <c r="H182" s="60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2"/>
      <c r="B183" s="2"/>
      <c r="C183" s="2"/>
      <c r="D183" s="2"/>
      <c r="E183" s="2"/>
      <c r="F183" s="2"/>
      <c r="G183" s="2"/>
      <c r="H183" s="60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2"/>
      <c r="B184" s="2"/>
      <c r="C184" s="2"/>
      <c r="D184" s="2"/>
      <c r="E184" s="2"/>
      <c r="F184" s="2"/>
      <c r="G184" s="2"/>
      <c r="H184" s="60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2"/>
      <c r="B185" s="2"/>
      <c r="C185" s="2"/>
      <c r="D185" s="2"/>
      <c r="E185" s="2"/>
      <c r="F185" s="2"/>
      <c r="G185" s="2"/>
      <c r="H185" s="60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2"/>
      <c r="B186" s="2"/>
      <c r="C186" s="2"/>
      <c r="D186" s="2"/>
      <c r="E186" s="2"/>
      <c r="F186" s="2"/>
      <c r="G186" s="2"/>
      <c r="H186" s="60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2"/>
      <c r="B187" s="2"/>
      <c r="C187" s="2"/>
      <c r="D187" s="2"/>
      <c r="E187" s="2"/>
      <c r="F187" s="2"/>
      <c r="G187" s="2"/>
      <c r="H187" s="60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2"/>
      <c r="B188" s="2"/>
      <c r="C188" s="2"/>
      <c r="D188" s="2"/>
      <c r="E188" s="2"/>
      <c r="F188" s="2"/>
      <c r="G188" s="2"/>
      <c r="H188" s="60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2"/>
      <c r="B189" s="2"/>
      <c r="C189" s="2"/>
      <c r="D189" s="2"/>
      <c r="E189" s="2"/>
      <c r="F189" s="2"/>
      <c r="G189" s="2"/>
      <c r="H189" s="60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2"/>
      <c r="B190" s="2"/>
      <c r="C190" s="2"/>
      <c r="D190" s="2"/>
      <c r="E190" s="2"/>
      <c r="F190" s="2"/>
      <c r="G190" s="2"/>
      <c r="H190" s="60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2"/>
      <c r="B191" s="2"/>
      <c r="C191" s="2"/>
      <c r="D191" s="2"/>
      <c r="E191" s="2"/>
      <c r="F191" s="2"/>
      <c r="G191" s="2"/>
      <c r="H191" s="60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2"/>
      <c r="B192" s="2"/>
      <c r="C192" s="2"/>
      <c r="D192" s="2"/>
      <c r="E192" s="2"/>
      <c r="F192" s="2"/>
      <c r="G192" s="2"/>
      <c r="H192" s="60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2"/>
      <c r="B193" s="2"/>
      <c r="C193" s="2"/>
      <c r="D193" s="2"/>
      <c r="E193" s="2"/>
      <c r="F193" s="2"/>
      <c r="G193" s="2"/>
      <c r="H193" s="60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2"/>
      <c r="B194" s="2"/>
      <c r="C194" s="2"/>
      <c r="D194" s="2"/>
      <c r="E194" s="2"/>
      <c r="F194" s="2"/>
      <c r="G194" s="2"/>
      <c r="H194" s="60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2"/>
      <c r="B195" s="2"/>
      <c r="C195" s="2"/>
      <c r="D195" s="2"/>
      <c r="E195" s="2"/>
      <c r="F195" s="2"/>
      <c r="G195" s="2"/>
      <c r="H195" s="60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2"/>
      <c r="B196" s="2"/>
      <c r="C196" s="2"/>
      <c r="D196" s="2"/>
      <c r="E196" s="2"/>
      <c r="F196" s="2"/>
      <c r="G196" s="2"/>
      <c r="H196" s="60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2"/>
      <c r="B197" s="2"/>
      <c r="C197" s="2"/>
      <c r="D197" s="2"/>
      <c r="E197" s="2"/>
      <c r="F197" s="2"/>
      <c r="G197" s="2"/>
      <c r="H197" s="60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2"/>
      <c r="B198" s="2"/>
      <c r="C198" s="2"/>
      <c r="D198" s="2"/>
      <c r="E198" s="2"/>
      <c r="F198" s="2"/>
      <c r="G198" s="2"/>
      <c r="H198" s="60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2"/>
      <c r="B199" s="2"/>
      <c r="C199" s="2"/>
      <c r="D199" s="2"/>
      <c r="E199" s="2"/>
      <c r="F199" s="2"/>
      <c r="G199" s="2"/>
      <c r="H199" s="60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2"/>
      <c r="B200" s="2"/>
      <c r="C200" s="2"/>
      <c r="D200" s="2"/>
      <c r="E200" s="2"/>
      <c r="F200" s="2"/>
      <c r="G200" s="2"/>
      <c r="H200" s="60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2"/>
      <c r="B201" s="2"/>
      <c r="C201" s="2"/>
      <c r="D201" s="2"/>
      <c r="E201" s="2"/>
      <c r="F201" s="2"/>
      <c r="G201" s="2"/>
      <c r="H201" s="60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2"/>
      <c r="B202" s="2"/>
      <c r="C202" s="2"/>
      <c r="D202" s="2"/>
      <c r="E202" s="2"/>
      <c r="F202" s="2"/>
      <c r="G202" s="2"/>
      <c r="H202" s="60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2"/>
      <c r="B203" s="2"/>
      <c r="C203" s="2"/>
      <c r="D203" s="2"/>
      <c r="E203" s="2"/>
      <c r="F203" s="2"/>
      <c r="G203" s="2"/>
      <c r="H203" s="60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2"/>
      <c r="B204" s="2"/>
      <c r="C204" s="2"/>
      <c r="D204" s="2"/>
      <c r="E204" s="2"/>
      <c r="F204" s="2"/>
      <c r="G204" s="2"/>
      <c r="H204" s="60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2"/>
      <c r="B205" s="2"/>
      <c r="C205" s="2"/>
      <c r="D205" s="2"/>
      <c r="E205" s="2"/>
      <c r="F205" s="2"/>
      <c r="G205" s="2"/>
      <c r="H205" s="60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2"/>
      <c r="B206" s="2"/>
      <c r="C206" s="2"/>
      <c r="D206" s="2"/>
      <c r="E206" s="2"/>
      <c r="F206" s="2"/>
      <c r="G206" s="2"/>
      <c r="H206" s="60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2"/>
      <c r="B207" s="2"/>
      <c r="C207" s="2"/>
      <c r="D207" s="2"/>
      <c r="E207" s="2"/>
      <c r="F207" s="2"/>
      <c r="G207" s="2"/>
      <c r="H207" s="60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2"/>
      <c r="B208" s="2"/>
      <c r="C208" s="2"/>
      <c r="D208" s="2"/>
      <c r="E208" s="2"/>
      <c r="F208" s="2"/>
      <c r="G208" s="2"/>
      <c r="H208" s="60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2"/>
      <c r="B209" s="2"/>
      <c r="C209" s="2"/>
      <c r="D209" s="2"/>
      <c r="E209" s="2"/>
      <c r="F209" s="2"/>
      <c r="G209" s="2"/>
      <c r="H209" s="60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2"/>
      <c r="B210" s="2"/>
      <c r="C210" s="2"/>
      <c r="D210" s="2"/>
      <c r="E210" s="2"/>
      <c r="F210" s="2"/>
      <c r="G210" s="2"/>
      <c r="H210" s="60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2"/>
      <c r="B211" s="2"/>
      <c r="C211" s="2"/>
      <c r="D211" s="2"/>
      <c r="E211" s="2"/>
      <c r="F211" s="2"/>
      <c r="G211" s="2"/>
      <c r="H211" s="60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2"/>
      <c r="B212" s="2"/>
      <c r="C212" s="2"/>
      <c r="D212" s="2"/>
      <c r="E212" s="2"/>
      <c r="F212" s="2"/>
      <c r="G212" s="2"/>
      <c r="H212" s="60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2"/>
      <c r="B213" s="2"/>
      <c r="C213" s="2"/>
      <c r="D213" s="2"/>
      <c r="E213" s="2"/>
      <c r="F213" s="2"/>
      <c r="G213" s="2"/>
      <c r="H213" s="60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2"/>
      <c r="B214" s="2"/>
      <c r="C214" s="2"/>
      <c r="D214" s="2"/>
      <c r="E214" s="2"/>
      <c r="F214" s="2"/>
      <c r="G214" s="2"/>
      <c r="H214" s="60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2"/>
      <c r="B215" s="2"/>
      <c r="C215" s="2"/>
      <c r="D215" s="2"/>
      <c r="E215" s="2"/>
      <c r="F215" s="2"/>
      <c r="G215" s="2"/>
      <c r="H215" s="60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2"/>
      <c r="B216" s="2"/>
      <c r="C216" s="2"/>
      <c r="D216" s="2"/>
      <c r="E216" s="2"/>
      <c r="F216" s="2"/>
      <c r="G216" s="2"/>
      <c r="H216" s="60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2"/>
      <c r="B217" s="2"/>
      <c r="C217" s="2"/>
      <c r="D217" s="2"/>
      <c r="E217" s="2"/>
      <c r="F217" s="2"/>
      <c r="G217" s="2"/>
      <c r="H217" s="60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2"/>
      <c r="B218" s="2"/>
      <c r="C218" s="2"/>
      <c r="D218" s="2"/>
      <c r="E218" s="2"/>
      <c r="F218" s="2"/>
      <c r="G218" s="2"/>
      <c r="H218" s="60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2"/>
      <c r="B219" s="2"/>
      <c r="C219" s="2"/>
      <c r="D219" s="2"/>
      <c r="E219" s="2"/>
      <c r="F219" s="2"/>
      <c r="G219" s="2"/>
      <c r="H219" s="60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2"/>
      <c r="B220" s="2"/>
      <c r="C220" s="2"/>
      <c r="D220" s="2"/>
      <c r="E220" s="2"/>
      <c r="F220" s="2"/>
      <c r="G220" s="2"/>
      <c r="H220" s="60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2"/>
      <c r="B221" s="2"/>
      <c r="C221" s="2"/>
      <c r="D221" s="2"/>
      <c r="E221" s="2"/>
      <c r="F221" s="2"/>
      <c r="G221" s="2"/>
      <c r="H221" s="60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2"/>
      <c r="B222" s="2"/>
      <c r="C222" s="2"/>
      <c r="D222" s="2"/>
      <c r="E222" s="2"/>
      <c r="F222" s="2"/>
      <c r="G222" s="2"/>
      <c r="H222" s="60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2"/>
      <c r="B223" s="2"/>
      <c r="C223" s="2"/>
      <c r="D223" s="2"/>
      <c r="E223" s="2"/>
      <c r="F223" s="2"/>
      <c r="G223" s="2"/>
      <c r="H223" s="60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2"/>
      <c r="B224" s="2"/>
      <c r="C224" s="2"/>
      <c r="D224" s="2"/>
      <c r="E224" s="2"/>
      <c r="F224" s="2"/>
      <c r="G224" s="2"/>
      <c r="H224" s="60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2"/>
      <c r="B225" s="2"/>
      <c r="C225" s="2"/>
      <c r="D225" s="2"/>
      <c r="E225" s="2"/>
      <c r="F225" s="2"/>
      <c r="G225" s="2"/>
      <c r="H225" s="60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2"/>
      <c r="B226" s="2"/>
      <c r="C226" s="2"/>
      <c r="D226" s="2"/>
      <c r="E226" s="2"/>
      <c r="F226" s="2"/>
      <c r="G226" s="2"/>
      <c r="H226" s="60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2"/>
      <c r="B227" s="2"/>
      <c r="C227" s="2"/>
      <c r="D227" s="2"/>
      <c r="E227" s="2"/>
      <c r="F227" s="2"/>
      <c r="G227" s="2"/>
      <c r="H227" s="60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2"/>
      <c r="B228" s="2"/>
      <c r="C228" s="2"/>
      <c r="D228" s="2"/>
      <c r="E228" s="2"/>
      <c r="F228" s="2"/>
      <c r="G228" s="2"/>
      <c r="H228" s="60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2"/>
      <c r="B229" s="2"/>
      <c r="C229" s="2"/>
      <c r="D229" s="2"/>
      <c r="E229" s="2"/>
      <c r="F229" s="2"/>
      <c r="G229" s="2"/>
      <c r="H229" s="60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2"/>
      <c r="B230" s="2"/>
      <c r="C230" s="2"/>
      <c r="D230" s="2"/>
      <c r="E230" s="2"/>
      <c r="F230" s="2"/>
      <c r="G230" s="2"/>
      <c r="H230" s="60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2"/>
      <c r="B231" s="2"/>
      <c r="C231" s="2"/>
      <c r="D231" s="2"/>
      <c r="E231" s="2"/>
      <c r="F231" s="2"/>
      <c r="G231" s="2"/>
      <c r="H231" s="60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2"/>
      <c r="B232" s="2"/>
      <c r="C232" s="2"/>
      <c r="D232" s="2"/>
      <c r="E232" s="2"/>
      <c r="F232" s="2"/>
      <c r="G232" s="2"/>
      <c r="H232" s="60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2"/>
      <c r="B233" s="2"/>
      <c r="C233" s="2"/>
      <c r="D233" s="2"/>
      <c r="E233" s="2"/>
      <c r="F233" s="2"/>
      <c r="G233" s="2"/>
      <c r="H233" s="60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2"/>
      <c r="B234" s="2"/>
      <c r="C234" s="2"/>
      <c r="D234" s="2"/>
      <c r="E234" s="2"/>
      <c r="F234" s="2"/>
      <c r="G234" s="2"/>
      <c r="H234" s="60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2"/>
      <c r="B235" s="2"/>
      <c r="C235" s="2"/>
      <c r="D235" s="2"/>
      <c r="E235" s="2"/>
      <c r="F235" s="2"/>
      <c r="G235" s="2"/>
      <c r="H235" s="60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2"/>
      <c r="B236" s="2"/>
      <c r="C236" s="2"/>
      <c r="D236" s="2"/>
      <c r="E236" s="2"/>
      <c r="F236" s="2"/>
      <c r="G236" s="2"/>
      <c r="H236" s="60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2"/>
      <c r="B237" s="2"/>
      <c r="C237" s="2"/>
      <c r="D237" s="2"/>
      <c r="E237" s="2"/>
      <c r="F237" s="2"/>
      <c r="G237" s="2"/>
      <c r="H237" s="60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2"/>
      <c r="B238" s="2"/>
      <c r="C238" s="2"/>
      <c r="D238" s="2"/>
      <c r="E238" s="2"/>
      <c r="F238" s="2"/>
      <c r="G238" s="2"/>
      <c r="H238" s="60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2"/>
      <c r="B239" s="2"/>
      <c r="C239" s="2"/>
      <c r="D239" s="2"/>
      <c r="E239" s="2"/>
      <c r="F239" s="2"/>
      <c r="G239" s="2"/>
      <c r="H239" s="60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2"/>
      <c r="B240" s="2"/>
      <c r="C240" s="2"/>
      <c r="D240" s="2"/>
      <c r="E240" s="2"/>
      <c r="F240" s="2"/>
      <c r="G240" s="2"/>
      <c r="H240" s="60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2"/>
      <c r="B241" s="2"/>
      <c r="C241" s="2"/>
      <c r="D241" s="2"/>
      <c r="E241" s="2"/>
      <c r="F241" s="2"/>
      <c r="G241" s="2"/>
      <c r="H241" s="60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2"/>
      <c r="B242" s="2"/>
      <c r="C242" s="2"/>
      <c r="D242" s="2"/>
      <c r="E242" s="2"/>
      <c r="F242" s="2"/>
      <c r="G242" s="2"/>
      <c r="H242" s="60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2"/>
      <c r="B243" s="2"/>
      <c r="C243" s="2"/>
      <c r="D243" s="2"/>
      <c r="E243" s="2"/>
      <c r="F243" s="2"/>
      <c r="G243" s="2"/>
      <c r="H243" s="60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2"/>
      <c r="B244" s="2"/>
      <c r="C244" s="2"/>
      <c r="D244" s="2"/>
      <c r="E244" s="2"/>
      <c r="F244" s="2"/>
      <c r="G244" s="2"/>
      <c r="H244" s="60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2"/>
      <c r="B245" s="2"/>
      <c r="C245" s="2"/>
      <c r="D245" s="2"/>
      <c r="E245" s="2"/>
      <c r="F245" s="2"/>
      <c r="G245" s="2"/>
      <c r="H245" s="60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2"/>
      <c r="B246" s="2"/>
      <c r="C246" s="2"/>
      <c r="D246" s="2"/>
      <c r="E246" s="2"/>
      <c r="F246" s="2"/>
      <c r="G246" s="2"/>
      <c r="H246" s="60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2"/>
      <c r="B247" s="2"/>
      <c r="C247" s="2"/>
      <c r="D247" s="2"/>
      <c r="E247" s="2"/>
      <c r="F247" s="2"/>
      <c r="G247" s="2"/>
      <c r="H247" s="60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2"/>
      <c r="B248" s="2"/>
      <c r="C248" s="2"/>
      <c r="D248" s="2"/>
      <c r="E248" s="2"/>
      <c r="F248" s="2"/>
      <c r="G248" s="2"/>
      <c r="H248" s="60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2"/>
      <c r="B249" s="2"/>
      <c r="C249" s="2"/>
      <c r="D249" s="2"/>
      <c r="E249" s="2"/>
      <c r="F249" s="2"/>
      <c r="G249" s="2"/>
      <c r="H249" s="60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2"/>
      <c r="B250" s="2"/>
      <c r="C250" s="2"/>
      <c r="D250" s="2"/>
      <c r="E250" s="2"/>
      <c r="F250" s="2"/>
      <c r="G250" s="2"/>
      <c r="H250" s="60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2"/>
      <c r="B251" s="2"/>
      <c r="C251" s="2"/>
      <c r="D251" s="2"/>
      <c r="E251" s="2"/>
      <c r="F251" s="2"/>
      <c r="G251" s="2"/>
      <c r="H251" s="60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2"/>
      <c r="B252" s="2"/>
      <c r="C252" s="2"/>
      <c r="D252" s="2"/>
      <c r="E252" s="2"/>
      <c r="F252" s="2"/>
      <c r="G252" s="2"/>
      <c r="H252" s="60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2"/>
      <c r="B253" s="2"/>
      <c r="C253" s="2"/>
      <c r="D253" s="2"/>
      <c r="E253" s="2"/>
      <c r="F253" s="2"/>
      <c r="G253" s="2"/>
      <c r="H253" s="60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2"/>
      <c r="B254" s="2"/>
      <c r="C254" s="2"/>
      <c r="D254" s="2"/>
      <c r="E254" s="2"/>
      <c r="F254" s="2"/>
      <c r="G254" s="2"/>
      <c r="H254" s="60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2"/>
      <c r="B255" s="2"/>
      <c r="C255" s="2"/>
      <c r="D255" s="2"/>
      <c r="E255" s="2"/>
      <c r="F255" s="2"/>
      <c r="G255" s="2"/>
      <c r="H255" s="60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2"/>
      <c r="B256" s="2"/>
      <c r="C256" s="2"/>
      <c r="D256" s="2"/>
      <c r="E256" s="2"/>
      <c r="F256" s="2"/>
      <c r="G256" s="2"/>
      <c r="H256" s="60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2"/>
      <c r="B257" s="2"/>
      <c r="C257" s="2"/>
      <c r="D257" s="2"/>
      <c r="E257" s="2"/>
      <c r="F257" s="2"/>
      <c r="G257" s="2"/>
      <c r="H257" s="60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2"/>
      <c r="B258" s="2"/>
      <c r="C258" s="2"/>
      <c r="D258" s="2"/>
      <c r="E258" s="2"/>
      <c r="F258" s="2"/>
      <c r="G258" s="2"/>
      <c r="H258" s="60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2"/>
      <c r="B259" s="2"/>
      <c r="C259" s="2"/>
      <c r="D259" s="2"/>
      <c r="E259" s="2"/>
      <c r="F259" s="2"/>
      <c r="G259" s="2"/>
      <c r="H259" s="60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2"/>
      <c r="B260" s="2"/>
      <c r="C260" s="2"/>
      <c r="D260" s="2"/>
      <c r="E260" s="2"/>
      <c r="F260" s="2"/>
      <c r="G260" s="2"/>
      <c r="H260" s="60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2"/>
      <c r="B261" s="2"/>
      <c r="C261" s="2"/>
      <c r="D261" s="2"/>
      <c r="E261" s="2"/>
      <c r="F261" s="2"/>
      <c r="G261" s="2"/>
      <c r="H261" s="60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2"/>
      <c r="B262" s="2"/>
      <c r="C262" s="2"/>
      <c r="D262" s="2"/>
      <c r="E262" s="2"/>
      <c r="F262" s="2"/>
      <c r="G262" s="2"/>
      <c r="H262" s="60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2"/>
      <c r="B263" s="2"/>
      <c r="C263" s="2"/>
      <c r="D263" s="2"/>
      <c r="E263" s="2"/>
      <c r="F263" s="2"/>
      <c r="G263" s="2"/>
      <c r="H263" s="60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2"/>
      <c r="B264" s="2"/>
      <c r="C264" s="2"/>
      <c r="D264" s="2"/>
      <c r="E264" s="2"/>
      <c r="F264" s="2"/>
      <c r="G264" s="2"/>
      <c r="H264" s="60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2"/>
      <c r="B265" s="2"/>
      <c r="C265" s="2"/>
      <c r="D265" s="2"/>
      <c r="E265" s="2"/>
      <c r="F265" s="2"/>
      <c r="G265" s="2"/>
      <c r="H265" s="60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2"/>
      <c r="B266" s="2"/>
      <c r="C266" s="2"/>
      <c r="D266" s="2"/>
      <c r="E266" s="2"/>
      <c r="F266" s="2"/>
      <c r="G266" s="2"/>
      <c r="H266" s="60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2"/>
      <c r="B267" s="2"/>
      <c r="C267" s="2"/>
      <c r="D267" s="2"/>
      <c r="E267" s="2"/>
      <c r="F267" s="2"/>
      <c r="G267" s="2"/>
      <c r="H267" s="60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2"/>
      <c r="B268" s="2"/>
      <c r="C268" s="2"/>
      <c r="D268" s="2"/>
      <c r="E268" s="2"/>
      <c r="F268" s="2"/>
      <c r="G268" s="2"/>
      <c r="H268" s="60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2"/>
      <c r="B269" s="2"/>
      <c r="C269" s="2"/>
      <c r="D269" s="2"/>
      <c r="E269" s="2"/>
      <c r="F269" s="2"/>
      <c r="G269" s="2"/>
      <c r="H269" s="60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2"/>
      <c r="B270" s="2"/>
      <c r="C270" s="2"/>
      <c r="D270" s="2"/>
      <c r="E270" s="2"/>
      <c r="F270" s="2"/>
      <c r="G270" s="2"/>
      <c r="H270" s="60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2"/>
      <c r="B271" s="2"/>
      <c r="C271" s="2"/>
      <c r="D271" s="2"/>
      <c r="E271" s="2"/>
      <c r="F271" s="2"/>
      <c r="G271" s="2"/>
      <c r="H271" s="60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2"/>
      <c r="B272" s="2"/>
      <c r="C272" s="2"/>
      <c r="D272" s="2"/>
      <c r="E272" s="2"/>
      <c r="F272" s="2"/>
      <c r="G272" s="2"/>
      <c r="H272" s="60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2"/>
      <c r="B273" s="2"/>
      <c r="C273" s="2"/>
      <c r="D273" s="2"/>
      <c r="E273" s="2"/>
      <c r="F273" s="2"/>
      <c r="G273" s="2"/>
      <c r="H273" s="60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2"/>
      <c r="B274" s="2"/>
      <c r="C274" s="2"/>
      <c r="D274" s="2"/>
      <c r="E274" s="2"/>
      <c r="F274" s="2"/>
      <c r="G274" s="2"/>
      <c r="H274" s="60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2"/>
      <c r="B275" s="2"/>
      <c r="C275" s="2"/>
      <c r="D275" s="2"/>
      <c r="E275" s="2"/>
      <c r="F275" s="2"/>
      <c r="G275" s="2"/>
      <c r="H275" s="60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2"/>
      <c r="B276" s="2"/>
      <c r="C276" s="2"/>
      <c r="D276" s="2"/>
      <c r="E276" s="2"/>
      <c r="F276" s="2"/>
      <c r="G276" s="2"/>
      <c r="H276" s="60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2"/>
      <c r="B277" s="2"/>
      <c r="C277" s="2"/>
      <c r="D277" s="2"/>
      <c r="E277" s="2"/>
      <c r="F277" s="2"/>
      <c r="G277" s="2"/>
      <c r="H277" s="60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2"/>
      <c r="B278" s="2"/>
      <c r="C278" s="2"/>
      <c r="D278" s="2"/>
      <c r="E278" s="2"/>
      <c r="F278" s="2"/>
      <c r="G278" s="2"/>
      <c r="H278" s="60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2"/>
      <c r="B279" s="2"/>
      <c r="C279" s="2"/>
      <c r="D279" s="2"/>
      <c r="E279" s="2"/>
      <c r="F279" s="2"/>
      <c r="G279" s="2"/>
      <c r="H279" s="60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2"/>
      <c r="B280" s="2"/>
      <c r="C280" s="2"/>
      <c r="D280" s="2"/>
      <c r="E280" s="2"/>
      <c r="F280" s="2"/>
      <c r="G280" s="2"/>
      <c r="H280" s="60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2"/>
      <c r="B281" s="2"/>
      <c r="C281" s="2"/>
      <c r="D281" s="2"/>
      <c r="E281" s="2"/>
      <c r="F281" s="2"/>
      <c r="G281" s="2"/>
      <c r="H281" s="60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2"/>
      <c r="B282" s="2"/>
      <c r="C282" s="2"/>
      <c r="D282" s="2"/>
      <c r="E282" s="2"/>
      <c r="F282" s="2"/>
      <c r="G282" s="2"/>
      <c r="H282" s="60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2"/>
      <c r="B283" s="2"/>
      <c r="C283" s="2"/>
      <c r="D283" s="2"/>
      <c r="E283" s="2"/>
      <c r="F283" s="2"/>
      <c r="G283" s="2"/>
      <c r="H283" s="60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2"/>
      <c r="B284" s="2"/>
      <c r="C284" s="2"/>
      <c r="D284" s="2"/>
      <c r="E284" s="2"/>
      <c r="F284" s="2"/>
      <c r="G284" s="2"/>
      <c r="H284" s="60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2"/>
      <c r="B285" s="2"/>
      <c r="C285" s="2"/>
      <c r="D285" s="2"/>
      <c r="E285" s="2"/>
      <c r="F285" s="2"/>
      <c r="G285" s="2"/>
      <c r="H285" s="60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2"/>
      <c r="B286" s="2"/>
      <c r="C286" s="2"/>
      <c r="D286" s="2"/>
      <c r="E286" s="2"/>
      <c r="F286" s="2"/>
      <c r="G286" s="2"/>
      <c r="H286" s="60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2"/>
      <c r="B287" s="2"/>
      <c r="C287" s="2"/>
      <c r="D287" s="2"/>
      <c r="E287" s="2"/>
      <c r="F287" s="2"/>
      <c r="G287" s="2"/>
      <c r="H287" s="60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2"/>
      <c r="B288" s="2"/>
      <c r="C288" s="2"/>
      <c r="D288" s="2"/>
      <c r="E288" s="2"/>
      <c r="F288" s="2"/>
      <c r="G288" s="2"/>
      <c r="H288" s="60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2"/>
      <c r="B289" s="2"/>
      <c r="C289" s="2"/>
      <c r="D289" s="2"/>
      <c r="E289" s="2"/>
      <c r="F289" s="2"/>
      <c r="G289" s="2"/>
      <c r="H289" s="60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2"/>
      <c r="B290" s="2"/>
      <c r="C290" s="2"/>
      <c r="D290" s="2"/>
      <c r="E290" s="2"/>
      <c r="F290" s="2"/>
      <c r="G290" s="2"/>
      <c r="H290" s="60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2"/>
      <c r="B291" s="2"/>
      <c r="C291" s="2"/>
      <c r="D291" s="2"/>
      <c r="E291" s="2"/>
      <c r="F291" s="2"/>
      <c r="G291" s="2"/>
      <c r="H291" s="60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2"/>
      <c r="B292" s="2"/>
      <c r="C292" s="2"/>
      <c r="D292" s="2"/>
      <c r="E292" s="2"/>
      <c r="F292" s="2"/>
      <c r="G292" s="2"/>
      <c r="H292" s="60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2"/>
      <c r="B293" s="2"/>
      <c r="C293" s="2"/>
      <c r="D293" s="2"/>
      <c r="E293" s="2"/>
      <c r="F293" s="2"/>
      <c r="G293" s="2"/>
      <c r="H293" s="60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2"/>
      <c r="B294" s="2"/>
      <c r="C294" s="2"/>
      <c r="D294" s="2"/>
      <c r="E294" s="2"/>
      <c r="F294" s="2"/>
      <c r="G294" s="2"/>
      <c r="H294" s="60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2"/>
      <c r="B295" s="2"/>
      <c r="C295" s="2"/>
      <c r="D295" s="2"/>
      <c r="E295" s="2"/>
      <c r="F295" s="2"/>
      <c r="G295" s="2"/>
      <c r="H295" s="60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2"/>
      <c r="B296" s="2"/>
      <c r="C296" s="2"/>
      <c r="D296" s="2"/>
      <c r="E296" s="2"/>
      <c r="F296" s="2"/>
      <c r="G296" s="2"/>
      <c r="H296" s="60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2"/>
      <c r="B297" s="2"/>
      <c r="C297" s="2"/>
      <c r="D297" s="2"/>
      <c r="E297" s="2"/>
      <c r="F297" s="2"/>
      <c r="G297" s="2"/>
      <c r="H297" s="60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2"/>
      <c r="B298" s="2"/>
      <c r="C298" s="2"/>
      <c r="D298" s="2"/>
      <c r="E298" s="2"/>
      <c r="F298" s="2"/>
      <c r="G298" s="2"/>
      <c r="H298" s="60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2"/>
      <c r="B299" s="2"/>
      <c r="C299" s="2"/>
      <c r="D299" s="2"/>
      <c r="E299" s="2"/>
      <c r="F299" s="2"/>
      <c r="G299" s="2"/>
      <c r="H299" s="60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2"/>
      <c r="B300" s="2"/>
      <c r="C300" s="2"/>
      <c r="D300" s="2"/>
      <c r="E300" s="2"/>
      <c r="F300" s="2"/>
      <c r="G300" s="2"/>
      <c r="H300" s="60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2"/>
      <c r="B301" s="2"/>
      <c r="C301" s="2"/>
      <c r="D301" s="2"/>
      <c r="E301" s="2"/>
      <c r="F301" s="2"/>
      <c r="G301" s="2"/>
      <c r="H301" s="60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2"/>
      <c r="B302" s="2"/>
      <c r="C302" s="2"/>
      <c r="D302" s="2"/>
      <c r="E302" s="2"/>
      <c r="F302" s="2"/>
      <c r="G302" s="2"/>
      <c r="H302" s="60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2"/>
      <c r="B303" s="2"/>
      <c r="C303" s="2"/>
      <c r="D303" s="2"/>
      <c r="E303" s="2"/>
      <c r="F303" s="2"/>
      <c r="G303" s="2"/>
      <c r="H303" s="60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2"/>
      <c r="B304" s="2"/>
      <c r="C304" s="2"/>
      <c r="D304" s="2"/>
      <c r="E304" s="2"/>
      <c r="F304" s="2"/>
      <c r="G304" s="2"/>
      <c r="H304" s="60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2"/>
      <c r="B305" s="2"/>
      <c r="C305" s="2"/>
      <c r="D305" s="2"/>
      <c r="E305" s="2"/>
      <c r="F305" s="2"/>
      <c r="G305" s="2"/>
      <c r="H305" s="60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2"/>
      <c r="B306" s="2"/>
      <c r="C306" s="2"/>
      <c r="D306" s="2"/>
      <c r="E306" s="2"/>
      <c r="F306" s="2"/>
      <c r="G306" s="2"/>
      <c r="H306" s="60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2"/>
      <c r="B307" s="2"/>
      <c r="C307" s="2"/>
      <c r="D307" s="2"/>
      <c r="E307" s="2"/>
      <c r="F307" s="2"/>
      <c r="G307" s="2"/>
      <c r="H307" s="60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2"/>
      <c r="B308" s="2"/>
      <c r="C308" s="2"/>
      <c r="D308" s="2"/>
      <c r="E308" s="2"/>
      <c r="F308" s="2"/>
      <c r="G308" s="2"/>
      <c r="H308" s="60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2"/>
      <c r="B309" s="2"/>
      <c r="C309" s="2"/>
      <c r="D309" s="2"/>
      <c r="E309" s="2"/>
      <c r="F309" s="2"/>
      <c r="G309" s="2"/>
      <c r="H309" s="60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2"/>
      <c r="B310" s="2"/>
      <c r="C310" s="2"/>
      <c r="D310" s="2"/>
      <c r="E310" s="2"/>
      <c r="F310" s="2"/>
      <c r="G310" s="2"/>
      <c r="H310" s="60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2"/>
      <c r="B311" s="2"/>
      <c r="C311" s="2"/>
      <c r="D311" s="2"/>
      <c r="E311" s="2"/>
      <c r="F311" s="2"/>
      <c r="G311" s="2"/>
      <c r="H311" s="60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2"/>
      <c r="B312" s="2"/>
      <c r="C312" s="2"/>
      <c r="D312" s="2"/>
      <c r="E312" s="2"/>
      <c r="F312" s="2"/>
      <c r="G312" s="2"/>
      <c r="H312" s="60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2"/>
      <c r="B313" s="2"/>
      <c r="C313" s="2"/>
      <c r="D313" s="2"/>
      <c r="E313" s="2"/>
      <c r="F313" s="2"/>
      <c r="G313" s="2"/>
      <c r="H313" s="60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2"/>
      <c r="B314" s="2"/>
      <c r="C314" s="2"/>
      <c r="D314" s="2"/>
      <c r="E314" s="2"/>
      <c r="F314" s="2"/>
      <c r="G314" s="2"/>
      <c r="H314" s="60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2"/>
      <c r="B315" s="2"/>
      <c r="C315" s="2"/>
      <c r="D315" s="2"/>
      <c r="E315" s="2"/>
      <c r="F315" s="2"/>
      <c r="G315" s="2"/>
      <c r="H315" s="60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2"/>
      <c r="B316" s="2"/>
      <c r="C316" s="2"/>
      <c r="D316" s="2"/>
      <c r="E316" s="2"/>
      <c r="F316" s="2"/>
      <c r="G316" s="2"/>
      <c r="H316" s="60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2"/>
      <c r="B317" s="2"/>
      <c r="C317" s="2"/>
      <c r="D317" s="2"/>
      <c r="E317" s="2"/>
      <c r="F317" s="2"/>
      <c r="G317" s="2"/>
      <c r="H317" s="60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2"/>
      <c r="B318" s="2"/>
      <c r="C318" s="2"/>
      <c r="D318" s="2"/>
      <c r="E318" s="2"/>
      <c r="F318" s="2"/>
      <c r="G318" s="2"/>
      <c r="H318" s="60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2"/>
      <c r="B319" s="2"/>
      <c r="C319" s="2"/>
      <c r="D319" s="2"/>
      <c r="E319" s="2"/>
      <c r="F319" s="2"/>
      <c r="G319" s="2"/>
      <c r="H319" s="60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2"/>
      <c r="B320" s="2"/>
      <c r="C320" s="2"/>
      <c r="D320" s="2"/>
      <c r="E320" s="2"/>
      <c r="F320" s="2"/>
      <c r="G320" s="2"/>
      <c r="H320" s="60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2"/>
      <c r="B321" s="2"/>
      <c r="C321" s="2"/>
      <c r="D321" s="2"/>
      <c r="E321" s="2"/>
      <c r="F321" s="2"/>
      <c r="G321" s="2"/>
      <c r="H321" s="60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2"/>
      <c r="B322" s="2"/>
      <c r="C322" s="2"/>
      <c r="D322" s="2"/>
      <c r="E322" s="2"/>
      <c r="F322" s="2"/>
      <c r="G322" s="2"/>
      <c r="H322" s="60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2"/>
      <c r="B323" s="2"/>
      <c r="C323" s="2"/>
      <c r="D323" s="2"/>
      <c r="E323" s="2"/>
      <c r="F323" s="2"/>
      <c r="G323" s="2"/>
      <c r="H323" s="60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2"/>
      <c r="B324" s="2"/>
      <c r="C324" s="2"/>
      <c r="D324" s="2"/>
      <c r="E324" s="2"/>
      <c r="F324" s="2"/>
      <c r="G324" s="2"/>
      <c r="H324" s="60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2"/>
      <c r="B325" s="2"/>
      <c r="C325" s="2"/>
      <c r="D325" s="2"/>
      <c r="E325" s="2"/>
      <c r="F325" s="2"/>
      <c r="G325" s="2"/>
      <c r="H325" s="60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2"/>
      <c r="B326" s="2"/>
      <c r="C326" s="2"/>
      <c r="D326" s="2"/>
      <c r="E326" s="2"/>
      <c r="F326" s="2"/>
      <c r="G326" s="2"/>
      <c r="H326" s="60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2"/>
      <c r="B327" s="2"/>
      <c r="C327" s="2"/>
      <c r="D327" s="2"/>
      <c r="E327" s="2"/>
      <c r="F327" s="2"/>
      <c r="G327" s="2"/>
      <c r="H327" s="60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2"/>
      <c r="B328" s="2"/>
      <c r="C328" s="2"/>
      <c r="D328" s="2"/>
      <c r="E328" s="2"/>
      <c r="F328" s="2"/>
      <c r="G328" s="2"/>
      <c r="H328" s="60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2"/>
      <c r="B329" s="2"/>
      <c r="C329" s="2"/>
      <c r="D329" s="2"/>
      <c r="E329" s="2"/>
      <c r="F329" s="2"/>
      <c r="G329" s="2"/>
      <c r="H329" s="60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2"/>
      <c r="B330" s="2"/>
      <c r="C330" s="2"/>
      <c r="D330" s="2"/>
      <c r="E330" s="2"/>
      <c r="F330" s="2"/>
      <c r="G330" s="2"/>
      <c r="H330" s="60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2"/>
      <c r="B331" s="2"/>
      <c r="C331" s="2"/>
      <c r="D331" s="2"/>
      <c r="E331" s="2"/>
      <c r="F331" s="2"/>
      <c r="G331" s="2"/>
      <c r="H331" s="60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2"/>
      <c r="B332" s="2"/>
      <c r="C332" s="2"/>
      <c r="D332" s="2"/>
      <c r="E332" s="2"/>
      <c r="F332" s="2"/>
      <c r="G332" s="2"/>
      <c r="H332" s="60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2"/>
      <c r="B333" s="2"/>
      <c r="C333" s="2"/>
      <c r="D333" s="2"/>
      <c r="E333" s="2"/>
      <c r="F333" s="2"/>
      <c r="G333" s="2"/>
      <c r="H333" s="60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2"/>
      <c r="B334" s="2"/>
      <c r="C334" s="2"/>
      <c r="D334" s="2"/>
      <c r="E334" s="2"/>
      <c r="F334" s="2"/>
      <c r="G334" s="2"/>
      <c r="H334" s="60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2"/>
      <c r="B335" s="2"/>
      <c r="C335" s="2"/>
      <c r="D335" s="2"/>
      <c r="E335" s="2"/>
      <c r="F335" s="2"/>
      <c r="G335" s="2"/>
      <c r="H335" s="60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2"/>
      <c r="B336" s="2"/>
      <c r="C336" s="2"/>
      <c r="D336" s="2"/>
      <c r="E336" s="2"/>
      <c r="F336" s="2"/>
      <c r="G336" s="2"/>
      <c r="H336" s="60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2"/>
      <c r="B337" s="2"/>
      <c r="C337" s="2"/>
      <c r="D337" s="2"/>
      <c r="E337" s="2"/>
      <c r="F337" s="2"/>
      <c r="G337" s="2"/>
      <c r="H337" s="60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2"/>
      <c r="B338" s="2"/>
      <c r="C338" s="2"/>
      <c r="D338" s="2"/>
      <c r="E338" s="2"/>
      <c r="F338" s="2"/>
      <c r="G338" s="2"/>
      <c r="H338" s="60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2"/>
      <c r="B339" s="2"/>
      <c r="C339" s="2"/>
      <c r="D339" s="2"/>
      <c r="E339" s="2"/>
      <c r="F339" s="2"/>
      <c r="G339" s="2"/>
      <c r="H339" s="60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2"/>
      <c r="B340" s="2"/>
      <c r="C340" s="2"/>
      <c r="D340" s="2"/>
      <c r="E340" s="2"/>
      <c r="F340" s="2"/>
      <c r="G340" s="2"/>
      <c r="H340" s="60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2"/>
      <c r="B341" s="2"/>
      <c r="C341" s="2"/>
      <c r="D341" s="2"/>
      <c r="E341" s="2"/>
      <c r="F341" s="2"/>
      <c r="G341" s="2"/>
      <c r="H341" s="60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2"/>
      <c r="B342" s="2"/>
      <c r="C342" s="2"/>
      <c r="D342" s="2"/>
      <c r="E342" s="2"/>
      <c r="F342" s="2"/>
      <c r="G342" s="2"/>
      <c r="H342" s="60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2"/>
      <c r="B343" s="2"/>
      <c r="C343" s="2"/>
      <c r="D343" s="2"/>
      <c r="E343" s="2"/>
      <c r="F343" s="2"/>
      <c r="G343" s="2"/>
      <c r="H343" s="60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2"/>
      <c r="B344" s="2"/>
      <c r="C344" s="2"/>
      <c r="D344" s="2"/>
      <c r="E344" s="2"/>
      <c r="F344" s="2"/>
      <c r="G344" s="2"/>
      <c r="H344" s="60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2"/>
      <c r="B345" s="2"/>
      <c r="C345" s="2"/>
      <c r="D345" s="2"/>
      <c r="E345" s="2"/>
      <c r="F345" s="2"/>
      <c r="G345" s="2"/>
      <c r="H345" s="60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2"/>
      <c r="B346" s="2"/>
      <c r="C346" s="2"/>
      <c r="D346" s="2"/>
      <c r="E346" s="2"/>
      <c r="F346" s="2"/>
      <c r="G346" s="2"/>
      <c r="H346" s="60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2"/>
      <c r="B347" s="2"/>
      <c r="C347" s="2"/>
      <c r="D347" s="2"/>
      <c r="E347" s="2"/>
      <c r="F347" s="2"/>
      <c r="G347" s="2"/>
      <c r="H347" s="60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2"/>
      <c r="B348" s="2"/>
      <c r="C348" s="2"/>
      <c r="D348" s="2"/>
      <c r="E348" s="2"/>
      <c r="F348" s="2"/>
      <c r="G348" s="2"/>
      <c r="H348" s="60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2"/>
      <c r="B349" s="2"/>
      <c r="C349" s="2"/>
      <c r="D349" s="2"/>
      <c r="E349" s="2"/>
      <c r="F349" s="2"/>
      <c r="G349" s="2"/>
      <c r="H349" s="60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2"/>
      <c r="B350" s="2"/>
      <c r="C350" s="2"/>
      <c r="D350" s="2"/>
      <c r="E350" s="2"/>
      <c r="F350" s="2"/>
      <c r="G350" s="2"/>
      <c r="H350" s="60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2"/>
      <c r="B351" s="2"/>
      <c r="C351" s="2"/>
      <c r="D351" s="2"/>
      <c r="E351" s="2"/>
      <c r="F351" s="2"/>
      <c r="G351" s="2"/>
      <c r="H351" s="60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2"/>
      <c r="B352" s="2"/>
      <c r="C352" s="2"/>
      <c r="D352" s="2"/>
      <c r="E352" s="2"/>
      <c r="F352" s="2"/>
      <c r="G352" s="2"/>
      <c r="H352" s="60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2"/>
      <c r="B353" s="2"/>
      <c r="C353" s="2"/>
      <c r="D353" s="2"/>
      <c r="E353" s="2"/>
      <c r="F353" s="2"/>
      <c r="G353" s="2"/>
      <c r="H353" s="60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2"/>
      <c r="B354" s="2"/>
      <c r="C354" s="2"/>
      <c r="D354" s="2"/>
      <c r="E354" s="2"/>
      <c r="F354" s="2"/>
      <c r="G354" s="2"/>
      <c r="H354" s="60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2"/>
      <c r="B355" s="2"/>
      <c r="C355" s="2"/>
      <c r="D355" s="2"/>
      <c r="E355" s="2"/>
      <c r="F355" s="2"/>
      <c r="G355" s="2"/>
      <c r="H355" s="60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2"/>
      <c r="B356" s="2"/>
      <c r="C356" s="2"/>
      <c r="D356" s="2"/>
      <c r="E356" s="2"/>
      <c r="F356" s="2"/>
      <c r="G356" s="2"/>
      <c r="H356" s="60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2"/>
      <c r="B357" s="2"/>
      <c r="C357" s="2"/>
      <c r="D357" s="2"/>
      <c r="E357" s="2"/>
      <c r="F357" s="2"/>
      <c r="G357" s="2"/>
      <c r="H357" s="60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2"/>
      <c r="B358" s="2"/>
      <c r="C358" s="2"/>
      <c r="D358" s="2"/>
      <c r="E358" s="2"/>
      <c r="F358" s="2"/>
      <c r="G358" s="2"/>
      <c r="H358" s="60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2"/>
      <c r="B359" s="2"/>
      <c r="C359" s="2"/>
      <c r="D359" s="2"/>
      <c r="E359" s="2"/>
      <c r="F359" s="2"/>
      <c r="G359" s="2"/>
      <c r="H359" s="60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2"/>
      <c r="B360" s="2"/>
      <c r="C360" s="2"/>
      <c r="D360" s="2"/>
      <c r="E360" s="2"/>
      <c r="F360" s="2"/>
      <c r="G360" s="2"/>
      <c r="H360" s="60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2"/>
      <c r="B361" s="2"/>
      <c r="C361" s="2"/>
      <c r="D361" s="2"/>
      <c r="E361" s="2"/>
      <c r="F361" s="2"/>
      <c r="G361" s="2"/>
      <c r="H361" s="60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2"/>
      <c r="B362" s="2"/>
      <c r="C362" s="2"/>
      <c r="D362" s="2"/>
      <c r="E362" s="2"/>
      <c r="F362" s="2"/>
      <c r="G362" s="2"/>
      <c r="H362" s="60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2"/>
      <c r="B363" s="2"/>
      <c r="C363" s="2"/>
      <c r="D363" s="2"/>
      <c r="E363" s="2"/>
      <c r="F363" s="2"/>
      <c r="G363" s="2"/>
      <c r="H363" s="60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2"/>
      <c r="B364" s="2"/>
      <c r="C364" s="2"/>
      <c r="D364" s="2"/>
      <c r="E364" s="2"/>
      <c r="F364" s="2"/>
      <c r="G364" s="2"/>
      <c r="H364" s="60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2"/>
      <c r="B365" s="2"/>
      <c r="C365" s="2"/>
      <c r="D365" s="2"/>
      <c r="E365" s="2"/>
      <c r="F365" s="2"/>
      <c r="G365" s="2"/>
      <c r="H365" s="60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2"/>
      <c r="B366" s="2"/>
      <c r="C366" s="2"/>
      <c r="D366" s="2"/>
      <c r="E366" s="2"/>
      <c r="F366" s="2"/>
      <c r="G366" s="2"/>
      <c r="H366" s="60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2"/>
      <c r="B367" s="2"/>
      <c r="C367" s="2"/>
      <c r="D367" s="2"/>
      <c r="E367" s="2"/>
      <c r="F367" s="2"/>
      <c r="G367" s="2"/>
      <c r="H367" s="60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2"/>
      <c r="B368" s="2"/>
      <c r="C368" s="2"/>
      <c r="D368" s="2"/>
      <c r="E368" s="2"/>
      <c r="F368" s="2"/>
      <c r="G368" s="2"/>
      <c r="H368" s="60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2"/>
      <c r="B369" s="2"/>
      <c r="C369" s="2"/>
      <c r="D369" s="2"/>
      <c r="E369" s="2"/>
      <c r="F369" s="2"/>
      <c r="G369" s="2"/>
      <c r="H369" s="60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2"/>
      <c r="B370" s="2"/>
      <c r="C370" s="2"/>
      <c r="D370" s="2"/>
      <c r="E370" s="2"/>
      <c r="F370" s="2"/>
      <c r="G370" s="2"/>
      <c r="H370" s="60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2"/>
      <c r="B371" s="2"/>
      <c r="C371" s="2"/>
      <c r="D371" s="2"/>
      <c r="E371" s="2"/>
      <c r="F371" s="2"/>
      <c r="G371" s="2"/>
      <c r="H371" s="60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2"/>
      <c r="B372" s="2"/>
      <c r="C372" s="2"/>
      <c r="D372" s="2"/>
      <c r="E372" s="2"/>
      <c r="F372" s="2"/>
      <c r="G372" s="2"/>
      <c r="H372" s="60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2"/>
      <c r="B373" s="2"/>
      <c r="C373" s="2"/>
      <c r="D373" s="2"/>
      <c r="E373" s="2"/>
      <c r="F373" s="2"/>
      <c r="G373" s="2"/>
      <c r="H373" s="60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2"/>
      <c r="B374" s="2"/>
      <c r="C374" s="2"/>
      <c r="D374" s="2"/>
      <c r="E374" s="2"/>
      <c r="F374" s="2"/>
      <c r="G374" s="2"/>
      <c r="H374" s="60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2"/>
      <c r="B375" s="2"/>
      <c r="C375" s="2"/>
      <c r="D375" s="2"/>
      <c r="E375" s="2"/>
      <c r="F375" s="2"/>
      <c r="G375" s="2"/>
      <c r="H375" s="60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autoFilter ref="$B$4:$G$176">
    <sortState ref="B4:G176">
      <sortCondition ref="B4:B176"/>
    </sortState>
  </autoFilter>
  <dataValidations>
    <dataValidation type="list" allowBlank="1" showErrorMessage="1" sqref="C5:C176">
      <formula1>"Grs,Unidad,Cm3,Cda,Cdta"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7.63"/>
    <col customWidth="1" min="3" max="3" width="29.38"/>
    <col customWidth="1" min="4" max="4" width="23.13"/>
    <col customWidth="1" min="5" max="6" width="7.63"/>
    <col customWidth="1" min="7" max="7" width="13.13"/>
    <col customWidth="1" min="8" max="8" width="11.63"/>
    <col customWidth="1" min="9" max="26" width="7.63"/>
  </cols>
  <sheetData>
    <row r="1" ht="12.75" customHeight="1">
      <c r="A1" s="1"/>
      <c r="B1" s="1"/>
      <c r="C1" s="2"/>
      <c r="D1" s="85">
        <v>2.0</v>
      </c>
      <c r="F1" s="86">
        <f>D1+1</f>
        <v>3</v>
      </c>
      <c r="G1" s="87">
        <f>F1+1</f>
        <v>4</v>
      </c>
      <c r="H1" s="6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/>
      <c r="B2" s="65" t="s">
        <v>560</v>
      </c>
      <c r="C2" s="65" t="s">
        <v>561</v>
      </c>
      <c r="D2" s="88" t="s">
        <v>562</v>
      </c>
      <c r="E2" s="65" t="s">
        <v>385</v>
      </c>
      <c r="F2" s="89" t="s">
        <v>386</v>
      </c>
      <c r="G2" s="90" t="s">
        <v>563</v>
      </c>
      <c r="H2" s="89" t="s">
        <v>564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2"/>
      <c r="B3" s="91">
        <v>1.0</v>
      </c>
      <c r="C3" s="91" t="s">
        <v>364</v>
      </c>
      <c r="D3" s="66" t="s">
        <v>505</v>
      </c>
      <c r="E3" s="66" t="str">
        <f>IFERROR(VLOOKUP($D3,Insumos!$B:$U,D$1,0),"")</f>
        <v>Grs</v>
      </c>
      <c r="F3" s="67">
        <v>200.0</v>
      </c>
      <c r="G3" s="67">
        <f>IFERROR(VLOOKUP($D3,Insumos!$B:$U,G$1,0)/VLOOKUP($D3,Insumos!$B:$U,F$1,0),"")</f>
        <v>11</v>
      </c>
      <c r="H3" s="67">
        <f t="shared" ref="H3:H72" si="2">IFERROR(F3*G3,"")</f>
        <v>2200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92">
        <f t="shared" ref="B4:C4" si="1">IF($D4="","",B3)</f>
        <v>1</v>
      </c>
      <c r="C4" s="92" t="str">
        <f t="shared" si="1"/>
        <v>Budín de limón</v>
      </c>
      <c r="D4" s="13" t="s">
        <v>395</v>
      </c>
      <c r="E4" s="13" t="str">
        <f>IFERROR(VLOOKUP($D4,Insumos!$B:$U,D$1,0),"")</f>
        <v>Grs</v>
      </c>
      <c r="F4" s="70">
        <v>200.0</v>
      </c>
      <c r="G4" s="70">
        <f>IFERROR(VLOOKUP($D4,Insumos!$B:$U,G$1,0)/VLOOKUP($D4,Insumos!$B:$U,F$1,0),"")</f>
        <v>1.4</v>
      </c>
      <c r="H4" s="70">
        <f t="shared" si="2"/>
        <v>280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92">
        <f t="shared" ref="B5:C5" si="3">IF($D5="","",B4)</f>
        <v>1</v>
      </c>
      <c r="C5" s="92" t="str">
        <f t="shared" si="3"/>
        <v>Budín de limón</v>
      </c>
      <c r="D5" s="13" t="s">
        <v>492</v>
      </c>
      <c r="E5" s="13" t="str">
        <f>IFERROR(VLOOKUP($D5,Insumos!$B:$U,D$1,0),"")</f>
        <v>Unidad</v>
      </c>
      <c r="F5" s="70">
        <v>4.0</v>
      </c>
      <c r="G5" s="70">
        <f>IFERROR(VLOOKUP($D5,Insumos!$B:$U,G$1,0)/VLOOKUP($D5,Insumos!$B:$U,F$1,0),"")</f>
        <v>166.6666667</v>
      </c>
      <c r="H5" s="70">
        <f t="shared" si="2"/>
        <v>666.6666667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92">
        <f t="shared" ref="B6:C6" si="4">IF($D6="","",B5)</f>
        <v>1</v>
      </c>
      <c r="C6" s="92" t="str">
        <f t="shared" si="4"/>
        <v>Budín de limón</v>
      </c>
      <c r="D6" s="13" t="s">
        <v>489</v>
      </c>
      <c r="E6" s="13" t="str">
        <f>IFERROR(VLOOKUP($D6,Insumos!$B:$U,D$1,0),"")</f>
        <v>Grs</v>
      </c>
      <c r="F6" s="70">
        <v>270.0</v>
      </c>
      <c r="G6" s="70">
        <f>IFERROR(VLOOKUP($D6,Insumos!$B:$U,G$1,0)/VLOOKUP($D6,Insumos!$B:$U,F$1,0),"")</f>
        <v>0.82</v>
      </c>
      <c r="H6" s="70">
        <f t="shared" si="2"/>
        <v>221.4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92">
        <f t="shared" ref="B7:C7" si="5">IF($D7="","",B6)</f>
        <v>1</v>
      </c>
      <c r="C7" s="92" t="str">
        <f t="shared" si="5"/>
        <v>Budín de limón</v>
      </c>
      <c r="D7" s="13" t="s">
        <v>528</v>
      </c>
      <c r="E7" s="13" t="str">
        <f>IFERROR(VLOOKUP($D7,Insumos!$B:$U,D$1,0),"")</f>
        <v>Grs</v>
      </c>
      <c r="F7" s="70">
        <v>10.0</v>
      </c>
      <c r="G7" s="70">
        <f>IFERROR(VLOOKUP($D7,Insumos!$B:$U,G$1,0)/VLOOKUP($D7,Insumos!$B:$U,F$1,0),"")</f>
        <v>8</v>
      </c>
      <c r="H7" s="70">
        <f t="shared" si="2"/>
        <v>80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92">
        <f t="shared" ref="B8:C8" si="6">IF($D8="","",B6)</f>
        <v>1</v>
      </c>
      <c r="C8" s="92" t="str">
        <f t="shared" si="6"/>
        <v>Budín de limón</v>
      </c>
      <c r="D8" s="13" t="s">
        <v>500</v>
      </c>
      <c r="E8" s="13" t="str">
        <f>IFERROR(VLOOKUP($D8,Insumos!$B:$U,D$1,0),"")</f>
        <v>Unidad</v>
      </c>
      <c r="F8" s="70">
        <v>2.0</v>
      </c>
      <c r="G8" s="70">
        <f>IFERROR(VLOOKUP($D8,Insumos!$B:$U,G$1,0)/VLOOKUP($D8,Insumos!$B:$U,F$1,0),"")</f>
        <v>180</v>
      </c>
      <c r="H8" s="70">
        <f t="shared" si="2"/>
        <v>360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92">
        <f t="shared" ref="B9:C9" si="7">IF($D9="","",B7)</f>
        <v>1</v>
      </c>
      <c r="C9" s="92" t="str">
        <f t="shared" si="7"/>
        <v>Budín de limón</v>
      </c>
      <c r="D9" s="13" t="s">
        <v>465</v>
      </c>
      <c r="E9" s="13" t="str">
        <f>IFERROR(VLOOKUP($D9,Insumos!$B:$U,D$1,0),"")</f>
        <v>Unidad</v>
      </c>
      <c r="F9" s="70">
        <v>1.0</v>
      </c>
      <c r="G9" s="93">
        <f>IFERROR(VLOOKUP($D9,Insumos!$B:$U,G$1,0)/VLOOKUP($D9,Insumos!$B:$U,F$1,0),"")</f>
        <v>400</v>
      </c>
      <c r="H9" s="70">
        <f t="shared" si="2"/>
        <v>400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92">
        <f t="shared" ref="B10:C10" si="8">IF($D10="","",B8)</f>
        <v>1</v>
      </c>
      <c r="C10" s="92" t="str">
        <f t="shared" si="8"/>
        <v>Budín de limón</v>
      </c>
      <c r="D10" s="13" t="s">
        <v>426</v>
      </c>
      <c r="E10" s="13" t="str">
        <f>IFERROR(VLOOKUP($D10,Insumos!$B:$U,D$1,0),"")</f>
        <v>Unidad</v>
      </c>
      <c r="F10" s="70">
        <v>1.0</v>
      </c>
      <c r="G10" s="70">
        <f>IFERROR(VLOOKUP($D10,Insumos!$B:$U,G$1,0)/VLOOKUP($D10,Insumos!$B:$U,F$1,0),"")</f>
        <v>975</v>
      </c>
      <c r="H10" s="70">
        <f t="shared" si="2"/>
        <v>975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92">
        <f t="shared" ref="B11:C11" si="9">IF($D11="","",B10)</f>
        <v>1</v>
      </c>
      <c r="C11" s="92" t="str">
        <f t="shared" si="9"/>
        <v>Budín de limón</v>
      </c>
      <c r="D11" s="13" t="s">
        <v>397</v>
      </c>
      <c r="E11" s="13" t="str">
        <f>IFERROR(VLOOKUP($D11,Insumos!$B:$U,D$1,0),"")</f>
        <v>Grs</v>
      </c>
      <c r="F11" s="70">
        <v>250.0</v>
      </c>
      <c r="G11" s="70">
        <f>IFERROR(VLOOKUP($D11,Insumos!$B:$U,G$1,0)/VLOOKUP($D11,Insumos!$B:$U,F$1,0),"")</f>
        <v>1.5</v>
      </c>
      <c r="H11" s="70">
        <f t="shared" si="2"/>
        <v>375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94">
        <v>2.0</v>
      </c>
      <c r="C12" s="94" t="s">
        <v>376</v>
      </c>
      <c r="D12" s="66" t="s">
        <v>395</v>
      </c>
      <c r="E12" s="66" t="str">
        <f>IFERROR(VLOOKUP($D12,Insumos!$B:$U,D$1,0),"")</f>
        <v>Grs</v>
      </c>
      <c r="F12" s="67">
        <f>130/30*12</f>
        <v>52</v>
      </c>
      <c r="G12" s="67">
        <f>IFERROR(VLOOKUP($D12,Insumos!$B:$U,G$1,0)/VLOOKUP($D12,Insumos!$B:$U,F$1,0),"")</f>
        <v>1.4</v>
      </c>
      <c r="H12" s="67">
        <f t="shared" si="2"/>
        <v>72.8</v>
      </c>
      <c r="I12" s="6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95">
        <f t="shared" ref="B13:C13" si="10">IF($D13="","",B12)</f>
        <v>2</v>
      </c>
      <c r="C13" s="95" t="str">
        <f t="shared" si="10"/>
        <v>Macarrons x 12 unidades</v>
      </c>
      <c r="D13" s="13" t="s">
        <v>490</v>
      </c>
      <c r="E13" s="13" t="str">
        <f>IFERROR(VLOOKUP($D13,Insumos!$B:$U,D$1,0),"")</f>
        <v>Grs</v>
      </c>
      <c r="F13" s="70">
        <f>65/30*12</f>
        <v>26</v>
      </c>
      <c r="G13" s="70">
        <f>IFERROR(VLOOKUP($D13,Insumos!$B:$U,G$1,0)/VLOOKUP($D13,Insumos!$B:$U,F$1,0),"")</f>
        <v>32</v>
      </c>
      <c r="H13" s="70">
        <f t="shared" si="2"/>
        <v>832</v>
      </c>
      <c r="I13" s="6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95">
        <f t="shared" ref="B14:C14" si="11">IF($D14="","",B13)</f>
        <v>2</v>
      </c>
      <c r="C14" s="95" t="str">
        <f t="shared" si="11"/>
        <v>Macarrons x 12 unidades</v>
      </c>
      <c r="D14" s="13" t="s">
        <v>492</v>
      </c>
      <c r="E14" s="13" t="str">
        <f>IFERROR(VLOOKUP($D14,Insumos!$B:$U,D$1,0),"")</f>
        <v>Unidad</v>
      </c>
      <c r="F14" s="70">
        <f>2/30*12</f>
        <v>0.8</v>
      </c>
      <c r="G14" s="70">
        <f>IFERROR(VLOOKUP($D14,Insumos!$B:$U,G$1,0)/VLOOKUP($D14,Insumos!$B:$U,F$1,0),"")</f>
        <v>166.6666667</v>
      </c>
      <c r="H14" s="70">
        <f t="shared" si="2"/>
        <v>133.3333333</v>
      </c>
      <c r="I14" s="6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95">
        <f t="shared" ref="B15:C15" si="12">IF($D15="","",B14)</f>
        <v>2</v>
      </c>
      <c r="C15" s="95" t="str">
        <f t="shared" si="12"/>
        <v>Macarrons x 12 unidades</v>
      </c>
      <c r="D15" s="13" t="s">
        <v>397</v>
      </c>
      <c r="E15" s="13" t="str">
        <f>IFERROR(VLOOKUP($D15,Insumos!$B:$U,D$1,0),"")</f>
        <v>Grs</v>
      </c>
      <c r="F15" s="70">
        <f>65/30*12</f>
        <v>26</v>
      </c>
      <c r="G15" s="70">
        <f>IFERROR(VLOOKUP($D15,Insumos!$B:$U,G$1,0)/VLOOKUP($D15,Insumos!$B:$U,F$1,0),"")</f>
        <v>1.5</v>
      </c>
      <c r="H15" s="70">
        <f t="shared" si="2"/>
        <v>39</v>
      </c>
      <c r="I15" s="6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95">
        <f t="shared" ref="B16:C16" si="13">IF($D16="","",B15)</f>
        <v>2</v>
      </c>
      <c r="C16" s="95" t="str">
        <f t="shared" si="13"/>
        <v>Macarrons x 12 unidades</v>
      </c>
      <c r="D16" s="13" t="s">
        <v>458</v>
      </c>
      <c r="E16" s="13" t="str">
        <f>IFERROR(VLOOKUP($D16,Insumos!$B:$U,D$1,0),"")</f>
        <v>Grs</v>
      </c>
      <c r="F16" s="70">
        <f>3/30*12</f>
        <v>1.2</v>
      </c>
      <c r="G16" s="70">
        <f>IFERROR(VLOOKUP($D16,Insumos!$B:$U,G$1,0)/VLOOKUP($D16,Insumos!$B:$U,F$1,0),"")</f>
        <v>120</v>
      </c>
      <c r="H16" s="70">
        <f t="shared" si="2"/>
        <v>144</v>
      </c>
      <c r="I16" s="6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95">
        <f t="shared" ref="B17:C17" si="14">IF($D17="","",B16)</f>
        <v>2</v>
      </c>
      <c r="C17" s="95" t="str">
        <f t="shared" si="14"/>
        <v>Macarrons x 12 unidades</v>
      </c>
      <c r="D17" s="13" t="s">
        <v>541</v>
      </c>
      <c r="E17" s="13" t="str">
        <f>IFERROR(VLOOKUP($D17,Insumos!$B:$U,D$1,0),"")</f>
        <v>Grs</v>
      </c>
      <c r="F17" s="70">
        <f>10/30*12</f>
        <v>4</v>
      </c>
      <c r="G17" s="70">
        <f>IFERROR(VLOOKUP($D17,Insumos!$B:$U,G$1,0)/VLOOKUP($D17,Insumos!$B:$U,F$1,0),"")</f>
        <v>48</v>
      </c>
      <c r="H17" s="70">
        <f t="shared" si="2"/>
        <v>192</v>
      </c>
      <c r="I17" s="6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95">
        <f t="shared" ref="B18:C18" si="15">IF($D18="","",B17)</f>
        <v>2</v>
      </c>
      <c r="C18" s="95" t="str">
        <f t="shared" si="15"/>
        <v>Macarrons x 12 unidades</v>
      </c>
      <c r="D18" s="13" t="s">
        <v>462</v>
      </c>
      <c r="E18" s="13" t="str">
        <f>IFERROR(VLOOKUP($D18,Insumos!$B:$U,D$1,0),"")</f>
        <v>Grs</v>
      </c>
      <c r="F18" s="70">
        <f>100/30*12</f>
        <v>40</v>
      </c>
      <c r="G18" s="70">
        <f>IFERROR(VLOOKUP($D18,Insumos!$B:$U,G$1,0)/VLOOKUP($D18,Insumos!$B:$U,F$1,0),"")</f>
        <v>9.2</v>
      </c>
      <c r="H18" s="70">
        <f t="shared" si="2"/>
        <v>368</v>
      </c>
      <c r="I18" s="6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95">
        <f t="shared" ref="B19:C19" si="16">IF($D19="","",B18)</f>
        <v>2</v>
      </c>
      <c r="C19" s="95" t="str">
        <f t="shared" si="16"/>
        <v>Macarrons x 12 unidades</v>
      </c>
      <c r="D19" s="13" t="s">
        <v>454</v>
      </c>
      <c r="E19" s="13" t="str">
        <f>IFERROR(VLOOKUP($D19,Insumos!$B:$U,D$1,0),"")</f>
        <v>Grs</v>
      </c>
      <c r="F19" s="70">
        <v>40.0</v>
      </c>
      <c r="G19" s="70">
        <f>IFERROR(VLOOKUP($D19,Insumos!$B:$U,G$1,0)/VLOOKUP($D19,Insumos!$B:$U,F$1,0),"")</f>
        <v>10</v>
      </c>
      <c r="H19" s="70">
        <f t="shared" si="2"/>
        <v>400</v>
      </c>
      <c r="I19" s="6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95">
        <f t="shared" ref="B20:C20" si="17">IF($D20="","",B19)</f>
        <v>2</v>
      </c>
      <c r="C20" s="95" t="str">
        <f t="shared" si="17"/>
        <v>Macarrons x 12 unidades</v>
      </c>
      <c r="D20" s="13" t="s">
        <v>504</v>
      </c>
      <c r="E20" s="13" t="str">
        <f>IFERROR(VLOOKUP($D20,Insumos!$B:$U,D$1,0),"")</f>
        <v>Unidad</v>
      </c>
      <c r="F20" s="70">
        <v>2.0</v>
      </c>
      <c r="G20" s="70">
        <f>IFERROR(VLOOKUP($D20,Insumos!$B:$U,G$1,0)/VLOOKUP($D20,Insumos!$B:$U,F$1,0),"")</f>
        <v>400</v>
      </c>
      <c r="H20" s="70">
        <f t="shared" si="2"/>
        <v>800</v>
      </c>
      <c r="I20" s="6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96">
        <f t="shared" ref="B21:C21" si="18">IF($D21="","",B20)</f>
        <v>2</v>
      </c>
      <c r="C21" s="96" t="str">
        <f t="shared" si="18"/>
        <v>Macarrons x 12 unidades</v>
      </c>
      <c r="D21" s="81" t="s">
        <v>434</v>
      </c>
      <c r="E21" s="81" t="str">
        <f>IFERROR(VLOOKUP($D21,Insumos!$B:$U,D$1,0),"")</f>
        <v>Unidad</v>
      </c>
      <c r="F21" s="82">
        <v>1.0</v>
      </c>
      <c r="G21" s="82">
        <f>IFERROR(VLOOKUP($D21,Insumos!$B:$U,G$1,0)/VLOOKUP($D21,Insumos!$B:$U,F$1,0),"")</f>
        <v>410</v>
      </c>
      <c r="H21" s="82">
        <f t="shared" si="2"/>
        <v>410</v>
      </c>
      <c r="I21" s="6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94">
        <v>3.0</v>
      </c>
      <c r="C22" s="91" t="s">
        <v>374</v>
      </c>
      <c r="D22" s="66" t="s">
        <v>505</v>
      </c>
      <c r="E22" s="66" t="str">
        <f>IFERROR(VLOOKUP($D22,Insumos!$B:$U,D$1,0),"")</f>
        <v>Grs</v>
      </c>
      <c r="F22" s="67">
        <f>180+150</f>
        <v>330</v>
      </c>
      <c r="G22" s="67">
        <f>IFERROR(VLOOKUP($D22,Insumos!$B:$U,G$1,0)/VLOOKUP($D22,Insumos!$B:$U,F$1,0),"")</f>
        <v>11</v>
      </c>
      <c r="H22" s="67">
        <f t="shared" si="2"/>
        <v>3630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95">
        <f t="shared" ref="B23:C23" si="19">IF($D23="","",B22)</f>
        <v>3</v>
      </c>
      <c r="C23" s="92" t="str">
        <f t="shared" si="19"/>
        <v>Lemon pie 24cm</v>
      </c>
      <c r="D23" s="13" t="s">
        <v>489</v>
      </c>
      <c r="E23" s="13" t="str">
        <f>IFERROR(VLOOKUP($D23,Insumos!$B:$U,D$1,0),"")</f>
        <v>Grs</v>
      </c>
      <c r="F23" s="70">
        <v>300.0</v>
      </c>
      <c r="G23" s="70">
        <f>IFERROR(VLOOKUP($D23,Insumos!$B:$U,G$1,0)/VLOOKUP($D23,Insumos!$B:$U,F$1,0),"")</f>
        <v>0.82</v>
      </c>
      <c r="H23" s="70">
        <f t="shared" si="2"/>
        <v>246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95">
        <f t="shared" ref="B24:C24" si="20">IF($D24="","",B23)</f>
        <v>3</v>
      </c>
      <c r="C24" s="92" t="str">
        <f t="shared" si="20"/>
        <v>Lemon pie 24cm</v>
      </c>
      <c r="D24" s="13" t="s">
        <v>397</v>
      </c>
      <c r="E24" s="13" t="str">
        <f>IFERROR(VLOOKUP($D24,Insumos!$B:$U,D$1,0),"")</f>
        <v>Grs</v>
      </c>
      <c r="F24" s="70">
        <v>120.0</v>
      </c>
      <c r="G24" s="70">
        <f>IFERROR(VLOOKUP($D24,Insumos!$B:$U,G$1,0)/VLOOKUP($D24,Insumos!$B:$U,F$1,0),"")</f>
        <v>1.5</v>
      </c>
      <c r="H24" s="70">
        <f t="shared" si="2"/>
        <v>180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95">
        <f t="shared" ref="B25:C25" si="21">IF($D25="","",B24)</f>
        <v>3</v>
      </c>
      <c r="C25" s="92" t="str">
        <f t="shared" si="21"/>
        <v>Lemon pie 24cm</v>
      </c>
      <c r="D25" s="13" t="s">
        <v>492</v>
      </c>
      <c r="E25" s="13" t="str">
        <f>IFERROR(VLOOKUP($D25,Insumos!$B:$U,D$1,0),"")</f>
        <v>Unidad</v>
      </c>
      <c r="F25" s="70">
        <f>2+4+2</f>
        <v>8</v>
      </c>
      <c r="G25" s="70">
        <f>IFERROR(VLOOKUP($D25,Insumos!$B:$U,G$1,0)/VLOOKUP($D25,Insumos!$B:$U,F$1,0),"")</f>
        <v>166.6666667</v>
      </c>
      <c r="H25" s="70">
        <f t="shared" si="2"/>
        <v>1333.333333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95">
        <f t="shared" ref="B26:C26" si="22">IF($D26="","",B25)</f>
        <v>3</v>
      </c>
      <c r="C26" s="92" t="str">
        <f t="shared" si="22"/>
        <v>Lemon pie 24cm</v>
      </c>
      <c r="D26" s="13" t="s">
        <v>468</v>
      </c>
      <c r="E26" s="13" t="str">
        <f>IFERROR(VLOOKUP($D26,Insumos!$B:$U,D$1,0),"")</f>
        <v>Cm3</v>
      </c>
      <c r="F26" s="70">
        <v>10.0</v>
      </c>
      <c r="G26" s="70">
        <f>IFERROR(VLOOKUP($D26,Insumos!$B:$U,G$1,0)/VLOOKUP($D26,Insumos!$B:$U,F$1,0),"")</f>
        <v>1.52</v>
      </c>
      <c r="H26" s="70">
        <f t="shared" si="2"/>
        <v>15.2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95">
        <f t="shared" ref="B27:C27" si="23">IF($D27="","",B26)</f>
        <v>3</v>
      </c>
      <c r="C27" s="92" t="str">
        <f t="shared" si="23"/>
        <v>Lemon pie 24cm</v>
      </c>
      <c r="D27" s="13" t="s">
        <v>404</v>
      </c>
      <c r="E27" s="13" t="str">
        <f>IFERROR(VLOOKUP($D27,Insumos!$B:$U,D$1,0),"")</f>
        <v>Unidad</v>
      </c>
      <c r="F27" s="70">
        <v>1.0</v>
      </c>
      <c r="G27" s="70">
        <f>IFERROR(VLOOKUP($D27,Insumos!$B:$U,G$1,0)/VLOOKUP($D27,Insumos!$B:$U,F$1,0),"")</f>
        <v>1300</v>
      </c>
      <c r="H27" s="70">
        <f t="shared" si="2"/>
        <v>1300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95">
        <f t="shared" ref="B28:C28" si="24">IF($D28="","",B27)</f>
        <v>3</v>
      </c>
      <c r="C28" s="92" t="str">
        <f t="shared" si="24"/>
        <v>Lemon pie 24cm</v>
      </c>
      <c r="D28" s="13" t="s">
        <v>426</v>
      </c>
      <c r="E28" s="13" t="str">
        <f>IFERROR(VLOOKUP($D28,Insumos!$B:$U,D$1,0),"")</f>
        <v>Unidad</v>
      </c>
      <c r="F28" s="70">
        <v>1.0</v>
      </c>
      <c r="G28" s="70">
        <f>IFERROR(VLOOKUP($D28,Insumos!$B:$U,G$1,0)/VLOOKUP($D28,Insumos!$B:$U,F$1,0),"")</f>
        <v>975</v>
      </c>
      <c r="H28" s="70">
        <f t="shared" si="2"/>
        <v>975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95">
        <f t="shared" ref="B29:C29" si="25">IF($D29="","",B28)</f>
        <v>3</v>
      </c>
      <c r="C29" s="92" t="str">
        <f t="shared" si="25"/>
        <v>Lemon pie 24cm</v>
      </c>
      <c r="D29" s="13" t="s">
        <v>500</v>
      </c>
      <c r="E29" s="13" t="str">
        <f>IFERROR(VLOOKUP($D29,Insumos!$B:$U,D$1,0),"")</f>
        <v>Unidad</v>
      </c>
      <c r="F29" s="70">
        <v>2.0</v>
      </c>
      <c r="G29" s="70">
        <f>IFERROR(VLOOKUP($D29,Insumos!$B:$U,G$1,0)/VLOOKUP($D29,Insumos!$B:$U,F$1,0),"")</f>
        <v>180</v>
      </c>
      <c r="H29" s="70">
        <f t="shared" si="2"/>
        <v>360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95">
        <f t="shared" ref="B30:C30" si="26">IF($D30="","",B29)</f>
        <v>3</v>
      </c>
      <c r="C30" s="92" t="str">
        <f t="shared" si="26"/>
        <v>Lemon pie 24cm</v>
      </c>
      <c r="D30" s="13" t="s">
        <v>395</v>
      </c>
      <c r="E30" s="13" t="str">
        <f>IFERROR(VLOOKUP($D30,Insumos!$B:$U,D$1,0),"")</f>
        <v>Grs</v>
      </c>
      <c r="F30" s="70">
        <f>120+240</f>
        <v>360</v>
      </c>
      <c r="G30" s="70">
        <f>IFERROR(VLOOKUP($D30,Insumos!$B:$U,G$1,0)/VLOOKUP($D30,Insumos!$B:$U,F$1,0),"")</f>
        <v>1.4</v>
      </c>
      <c r="H30" s="70">
        <f t="shared" si="2"/>
        <v>504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95">
        <f t="shared" ref="B31:C31" si="27">IF($D31="","",B30)</f>
        <v>3</v>
      </c>
      <c r="C31" s="92" t="str">
        <f t="shared" si="27"/>
        <v>Lemon pie 24cm</v>
      </c>
      <c r="D31" s="13" t="s">
        <v>504</v>
      </c>
      <c r="E31" s="13" t="str">
        <f>IFERROR(VLOOKUP($D31,Insumos!$B:$U,D$1,0),"")</f>
        <v>Unidad</v>
      </c>
      <c r="F31" s="70">
        <v>1.0</v>
      </c>
      <c r="G31" s="70">
        <f>IFERROR(VLOOKUP($D31,Insumos!$B:$U,G$1,0)/VLOOKUP($D31,Insumos!$B:$U,F$1,0),"")</f>
        <v>400</v>
      </c>
      <c r="H31" s="70">
        <f t="shared" si="2"/>
        <v>400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96">
        <f t="shared" ref="B32:C32" si="28">IF($D32="","",B31)</f>
        <v>3</v>
      </c>
      <c r="C32" s="97" t="str">
        <f t="shared" si="28"/>
        <v>Lemon pie 24cm</v>
      </c>
      <c r="D32" s="81" t="s">
        <v>482</v>
      </c>
      <c r="E32" s="81" t="str">
        <f>IFERROR(VLOOKUP($D32,Insumos!$B:$U,D$1,0),"")</f>
        <v>Grs</v>
      </c>
      <c r="F32" s="82">
        <v>10.0</v>
      </c>
      <c r="G32" s="82">
        <f>IFERROR(VLOOKUP($D32,Insumos!$B:$U,G$1,0)/VLOOKUP($D32,Insumos!$B:$U,F$1,0),"")</f>
        <v>18</v>
      </c>
      <c r="H32" s="82">
        <f t="shared" si="2"/>
        <v>180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66">
        <v>4.0</v>
      </c>
      <c r="C33" s="66" t="s">
        <v>565</v>
      </c>
      <c r="D33" s="66" t="s">
        <v>505</v>
      </c>
      <c r="E33" s="66" t="str">
        <f>IFERROR(VLOOKUP($D33,Insumos!$B:$U,D$1,0),"")</f>
        <v>Grs</v>
      </c>
      <c r="F33" s="67">
        <f t="shared" ref="F33:F43" si="30">F22/2</f>
        <v>165</v>
      </c>
      <c r="G33" s="67">
        <f>IFERROR(VLOOKUP($D33,Insumos!$B:$U,G$1,0)/VLOOKUP($D33,Insumos!$B:$U,F$1,0),"")</f>
        <v>11</v>
      </c>
      <c r="H33" s="67">
        <f t="shared" si="2"/>
        <v>1815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13">
        <f t="shared" ref="B34:C34" si="29">IF($D34="","",B33)</f>
        <v>4</v>
      </c>
      <c r="C34" s="13" t="str">
        <f t="shared" si="29"/>
        <v>Lemon pie 12cm</v>
      </c>
      <c r="D34" s="13" t="s">
        <v>489</v>
      </c>
      <c r="E34" s="13" t="str">
        <f>IFERROR(VLOOKUP($D34,Insumos!$B:$U,D$1,0),"")</f>
        <v>Grs</v>
      </c>
      <c r="F34" s="70">
        <f t="shared" si="30"/>
        <v>150</v>
      </c>
      <c r="G34" s="70">
        <f>IFERROR(VLOOKUP($D34,Insumos!$B:$U,G$1,0)/VLOOKUP($D34,Insumos!$B:$U,F$1,0),"")</f>
        <v>0.82</v>
      </c>
      <c r="H34" s="70">
        <f t="shared" si="2"/>
        <v>123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13">
        <f t="shared" ref="B35:C35" si="31">IF($D35="","",B34)</f>
        <v>4</v>
      </c>
      <c r="C35" s="13" t="str">
        <f t="shared" si="31"/>
        <v>Lemon pie 12cm</v>
      </c>
      <c r="D35" s="13" t="s">
        <v>397</v>
      </c>
      <c r="E35" s="13" t="str">
        <f>IFERROR(VLOOKUP($D35,Insumos!$B:$U,D$1,0),"")</f>
        <v>Grs</v>
      </c>
      <c r="F35" s="70">
        <f t="shared" si="30"/>
        <v>60</v>
      </c>
      <c r="G35" s="70">
        <f>IFERROR(VLOOKUP($D35,Insumos!$B:$U,G$1,0)/VLOOKUP($D35,Insumos!$B:$U,F$1,0),"")</f>
        <v>1.5</v>
      </c>
      <c r="H35" s="70">
        <f t="shared" si="2"/>
        <v>90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13">
        <f t="shared" ref="B36:C36" si="32">IF($D36="","",B35)</f>
        <v>4</v>
      </c>
      <c r="C36" s="13" t="str">
        <f t="shared" si="32"/>
        <v>Lemon pie 12cm</v>
      </c>
      <c r="D36" s="13" t="s">
        <v>492</v>
      </c>
      <c r="E36" s="13" t="str">
        <f>IFERROR(VLOOKUP($D36,Insumos!$B:$U,D$1,0),"")</f>
        <v>Unidad</v>
      </c>
      <c r="F36" s="70">
        <f t="shared" si="30"/>
        <v>4</v>
      </c>
      <c r="G36" s="70">
        <f>IFERROR(VLOOKUP($D36,Insumos!$B:$U,G$1,0)/VLOOKUP($D36,Insumos!$B:$U,F$1,0),"")</f>
        <v>166.6666667</v>
      </c>
      <c r="H36" s="70">
        <f t="shared" si="2"/>
        <v>666.6666667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13">
        <f t="shared" ref="B37:C37" si="33">IF($D37="","",B36)</f>
        <v>4</v>
      </c>
      <c r="C37" s="13" t="str">
        <f t="shared" si="33"/>
        <v>Lemon pie 12cm</v>
      </c>
      <c r="D37" s="13" t="s">
        <v>468</v>
      </c>
      <c r="E37" s="13" t="str">
        <f>IFERROR(VLOOKUP($D37,Insumos!$B:$U,D$1,0),"")</f>
        <v>Cm3</v>
      </c>
      <c r="F37" s="70">
        <f t="shared" si="30"/>
        <v>5</v>
      </c>
      <c r="G37" s="70">
        <f>IFERROR(VLOOKUP($D37,Insumos!$B:$U,G$1,0)/VLOOKUP($D37,Insumos!$B:$U,F$1,0),"")</f>
        <v>1.52</v>
      </c>
      <c r="H37" s="70">
        <f t="shared" si="2"/>
        <v>7.6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13">
        <f t="shared" ref="B38:C38" si="34">IF($D38="","",B37)</f>
        <v>4</v>
      </c>
      <c r="C38" s="13" t="str">
        <f t="shared" si="34"/>
        <v>Lemon pie 12cm</v>
      </c>
      <c r="D38" s="13" t="s">
        <v>404</v>
      </c>
      <c r="E38" s="13" t="str">
        <f>IFERROR(VLOOKUP($D38,Insumos!$B:$U,D$1,0),"")</f>
        <v>Unidad</v>
      </c>
      <c r="F38" s="70">
        <f t="shared" si="30"/>
        <v>0.5</v>
      </c>
      <c r="G38" s="70">
        <f>IFERROR(VLOOKUP($D38,Insumos!$B:$U,G$1,0)/VLOOKUP($D38,Insumos!$B:$U,F$1,0),"")</f>
        <v>1300</v>
      </c>
      <c r="H38" s="70">
        <f t="shared" si="2"/>
        <v>650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13">
        <f t="shared" ref="B39:C39" si="35">IF($D39="","",B38)</f>
        <v>4</v>
      </c>
      <c r="C39" s="13" t="str">
        <f t="shared" si="35"/>
        <v>Lemon pie 12cm</v>
      </c>
      <c r="D39" s="13" t="s">
        <v>426</v>
      </c>
      <c r="E39" s="13" t="str">
        <f>IFERROR(VLOOKUP($D39,Insumos!$B:$U,D$1,0),"")</f>
        <v>Unidad</v>
      </c>
      <c r="F39" s="70">
        <f t="shared" si="30"/>
        <v>0.5</v>
      </c>
      <c r="G39" s="70">
        <f>IFERROR(VLOOKUP($D39,Insumos!$B:$U,G$1,0)/VLOOKUP($D39,Insumos!$B:$U,F$1,0),"")</f>
        <v>975</v>
      </c>
      <c r="H39" s="70">
        <f t="shared" si="2"/>
        <v>487.5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13">
        <f t="shared" ref="B40:C40" si="36">IF($D40="","",B39)</f>
        <v>4</v>
      </c>
      <c r="C40" s="13" t="str">
        <f t="shared" si="36"/>
        <v>Lemon pie 12cm</v>
      </c>
      <c r="D40" s="13" t="s">
        <v>500</v>
      </c>
      <c r="E40" s="13" t="str">
        <f>IFERROR(VLOOKUP($D40,Insumos!$B:$U,D$1,0),"")</f>
        <v>Unidad</v>
      </c>
      <c r="F40" s="70">
        <f t="shared" si="30"/>
        <v>1</v>
      </c>
      <c r="G40" s="70">
        <f>IFERROR(VLOOKUP($D40,Insumos!$B:$U,G$1,0)/VLOOKUP($D40,Insumos!$B:$U,F$1,0),"")</f>
        <v>180</v>
      </c>
      <c r="H40" s="70">
        <f t="shared" si="2"/>
        <v>180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13">
        <f t="shared" ref="B41:C41" si="37">IF($D41="","",B40)</f>
        <v>4</v>
      </c>
      <c r="C41" s="13" t="str">
        <f t="shared" si="37"/>
        <v>Lemon pie 12cm</v>
      </c>
      <c r="D41" s="13" t="s">
        <v>395</v>
      </c>
      <c r="E41" s="13" t="str">
        <f>IFERROR(VLOOKUP($D41,Insumos!$B:$U,D$1,0),"")</f>
        <v>Grs</v>
      </c>
      <c r="F41" s="70">
        <f t="shared" si="30"/>
        <v>180</v>
      </c>
      <c r="G41" s="70">
        <f>IFERROR(VLOOKUP($D41,Insumos!$B:$U,G$1,0)/VLOOKUP($D41,Insumos!$B:$U,F$1,0),"")</f>
        <v>1.4</v>
      </c>
      <c r="H41" s="70">
        <f t="shared" si="2"/>
        <v>252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13">
        <f t="shared" ref="B42:C42" si="38">IF($D42="","",B41)</f>
        <v>4</v>
      </c>
      <c r="C42" s="13" t="str">
        <f t="shared" si="38"/>
        <v>Lemon pie 12cm</v>
      </c>
      <c r="D42" s="13" t="s">
        <v>504</v>
      </c>
      <c r="E42" s="13" t="str">
        <f>IFERROR(VLOOKUP($D42,Insumos!$B:$U,D$1,0),"")</f>
        <v>Unidad</v>
      </c>
      <c r="F42" s="70">
        <f t="shared" si="30"/>
        <v>0.5</v>
      </c>
      <c r="G42" s="70">
        <f>IFERROR(VLOOKUP($D42,Insumos!$B:$U,G$1,0)/VLOOKUP($D42,Insumos!$B:$U,F$1,0),"")</f>
        <v>400</v>
      </c>
      <c r="H42" s="70">
        <f t="shared" si="2"/>
        <v>200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81">
        <f t="shared" ref="B43:C43" si="39">IF($D43="","",B42)</f>
        <v>4</v>
      </c>
      <c r="C43" s="81" t="str">
        <f t="shared" si="39"/>
        <v>Lemon pie 12cm</v>
      </c>
      <c r="D43" s="81" t="s">
        <v>482</v>
      </c>
      <c r="E43" s="81" t="str">
        <f>IFERROR(VLOOKUP($D43,Insumos!$B:$U,D$1,0),"")</f>
        <v>Grs</v>
      </c>
      <c r="F43" s="82">
        <f t="shared" si="30"/>
        <v>5</v>
      </c>
      <c r="G43" s="82">
        <f>IFERROR(VLOOKUP($D43,Insumos!$B:$U,G$1,0)/VLOOKUP($D43,Insumos!$B:$U,F$1,0),"")</f>
        <v>18</v>
      </c>
      <c r="H43" s="82">
        <f t="shared" si="2"/>
        <v>90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92">
        <v>5.0</v>
      </c>
      <c r="C44" s="92" t="s">
        <v>566</v>
      </c>
      <c r="D44" s="13" t="s">
        <v>505</v>
      </c>
      <c r="E44" s="13" t="str">
        <f>IFERROR(VLOOKUP($D44,Insumos!$B:$U,D$1,0),"")</f>
        <v>Grs</v>
      </c>
      <c r="F44" s="70">
        <v>110.0</v>
      </c>
      <c r="G44" s="70">
        <f>IFERROR(VLOOKUP($D44,Insumos!$B:$U,G$1,0)/VLOOKUP($D44,Insumos!$B:$U,F$1,0),"")</f>
        <v>11</v>
      </c>
      <c r="H44" s="70">
        <f t="shared" si="2"/>
        <v>1210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92">
        <f t="shared" ref="B45:C45" si="40">IF($D45="","",B44)</f>
        <v>5</v>
      </c>
      <c r="C45" s="92" t="str">
        <f t="shared" si="40"/>
        <v>Brownie 20x20cm</v>
      </c>
      <c r="D45" s="13" t="s">
        <v>395</v>
      </c>
      <c r="E45" s="13" t="str">
        <f>IFERROR(VLOOKUP($D45,Insumos!$B:$U,D$1,0),"")</f>
        <v>Grs</v>
      </c>
      <c r="F45" s="70">
        <v>225.0</v>
      </c>
      <c r="G45" s="70">
        <f>IFERROR(VLOOKUP($D45,Insumos!$B:$U,G$1,0)/VLOOKUP($D45,Insumos!$B:$U,F$1,0),"")</f>
        <v>1.4</v>
      </c>
      <c r="H45" s="70">
        <f t="shared" si="2"/>
        <v>315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92">
        <f t="shared" ref="B46:C46" si="41">IF($D46="","",B45)</f>
        <v>5</v>
      </c>
      <c r="C46" s="92" t="str">
        <f t="shared" si="41"/>
        <v>Brownie 20x20cm</v>
      </c>
      <c r="D46" s="13" t="s">
        <v>492</v>
      </c>
      <c r="E46" s="13" t="str">
        <f>IFERROR(VLOOKUP($D46,Insumos!$B:$U,D$1,0),"")</f>
        <v>Unidad</v>
      </c>
      <c r="F46" s="70">
        <v>3.0</v>
      </c>
      <c r="G46" s="70">
        <f>IFERROR(VLOOKUP($D46,Insumos!$B:$U,G$1,0)/VLOOKUP($D46,Insumos!$B:$U,F$1,0),"")</f>
        <v>166.6666667</v>
      </c>
      <c r="H46" s="70">
        <f t="shared" si="2"/>
        <v>500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92">
        <f t="shared" ref="B47:C47" si="42">IF($D47="","",B46)</f>
        <v>5</v>
      </c>
      <c r="C47" s="92" t="str">
        <f t="shared" si="42"/>
        <v>Brownie 20x20cm</v>
      </c>
      <c r="D47" s="13" t="s">
        <v>454</v>
      </c>
      <c r="E47" s="13" t="str">
        <f>IFERROR(VLOOKUP($D47,Insumos!$B:$U,D$1,0),"")</f>
        <v>Grs</v>
      </c>
      <c r="F47" s="70">
        <v>110.0</v>
      </c>
      <c r="G47" s="70">
        <f>IFERROR(VLOOKUP($D47,Insumos!$B:$U,G$1,0)/VLOOKUP($D47,Insumos!$B:$U,F$1,0),"")</f>
        <v>10</v>
      </c>
      <c r="H47" s="70">
        <f t="shared" si="2"/>
        <v>1100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92">
        <f t="shared" ref="B48:C48" si="43">IF($D48="","",B47)</f>
        <v>5</v>
      </c>
      <c r="C48" s="92" t="str">
        <f t="shared" si="43"/>
        <v>Brownie 20x20cm</v>
      </c>
      <c r="D48" s="13" t="s">
        <v>422</v>
      </c>
      <c r="E48" s="13" t="str">
        <f>IFERROR(VLOOKUP($D48,Insumos!$B:$U,D$1,0),"")</f>
        <v>Grs</v>
      </c>
      <c r="F48" s="70">
        <v>10.0</v>
      </c>
      <c r="G48" s="70">
        <f>IFERROR(VLOOKUP($D48,Insumos!$B:$U,G$1,0)/VLOOKUP($D48,Insumos!$B:$U,F$1,0),"")</f>
        <v>36.11111111</v>
      </c>
      <c r="H48" s="70">
        <f t="shared" si="2"/>
        <v>361.1111111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92">
        <f t="shared" ref="B49:C49" si="44">IF($D49="","",B48)</f>
        <v>5</v>
      </c>
      <c r="C49" s="92" t="str">
        <f t="shared" si="44"/>
        <v>Brownie 20x20cm</v>
      </c>
      <c r="D49" s="13" t="s">
        <v>489</v>
      </c>
      <c r="E49" s="13" t="str">
        <f>IFERROR(VLOOKUP($D49,Insumos!$B:$U,D$1,0),"")</f>
        <v>Grs</v>
      </c>
      <c r="F49" s="70">
        <v>65.0</v>
      </c>
      <c r="G49" s="70">
        <f>IFERROR(VLOOKUP($D49,Insumos!$B:$U,G$1,0)/VLOOKUP($D49,Insumos!$B:$U,F$1,0),"")</f>
        <v>0.82</v>
      </c>
      <c r="H49" s="70">
        <f t="shared" si="2"/>
        <v>53.3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92">
        <f t="shared" ref="B50:C50" si="45">IF($D50="","",B49)</f>
        <v>5</v>
      </c>
      <c r="C50" s="92" t="str">
        <f t="shared" si="45"/>
        <v>Brownie 20x20cm</v>
      </c>
      <c r="D50" s="13" t="s">
        <v>516</v>
      </c>
      <c r="E50" s="13" t="str">
        <f>IFERROR(VLOOKUP($D50,Insumos!$B:$U,D$1,0),"")</f>
        <v>Grs</v>
      </c>
      <c r="F50" s="70">
        <v>90.0</v>
      </c>
      <c r="G50" s="70">
        <f>IFERROR(VLOOKUP($D50,Insumos!$B:$U,G$1,0)/VLOOKUP($D50,Insumos!$B:$U,F$1,0),"")</f>
        <v>19</v>
      </c>
      <c r="H50" s="70">
        <f t="shared" si="2"/>
        <v>1710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92">
        <f t="shared" ref="B51:C51" si="46">IF($D51="","",B50)</f>
        <v>5</v>
      </c>
      <c r="C51" s="92" t="str">
        <f t="shared" si="46"/>
        <v>Brownie 20x20cm</v>
      </c>
      <c r="D51" s="13" t="s">
        <v>426</v>
      </c>
      <c r="E51" s="13" t="str">
        <f>IFERROR(VLOOKUP($D51,Insumos!$B:$U,D$1,0),"")</f>
        <v>Unidad</v>
      </c>
      <c r="F51" s="70">
        <v>1.0</v>
      </c>
      <c r="G51" s="70">
        <f>IFERROR(VLOOKUP($D51,Insumos!$B:$U,G$1,0)/VLOOKUP($D51,Insumos!$B:$U,F$1,0),"")</f>
        <v>975</v>
      </c>
      <c r="H51" s="70">
        <f t="shared" si="2"/>
        <v>975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92">
        <f t="shared" ref="B52:C52" si="47">IF($D52="","",B51)</f>
        <v>5</v>
      </c>
      <c r="C52" s="92" t="str">
        <f t="shared" si="47"/>
        <v>Brownie 20x20cm</v>
      </c>
      <c r="D52" s="13" t="s">
        <v>404</v>
      </c>
      <c r="E52" s="13" t="str">
        <f>IFERROR(VLOOKUP($D52,Insumos!$B:$U,D$1,0),"")</f>
        <v>Unidad</v>
      </c>
      <c r="F52" s="70">
        <v>1.0</v>
      </c>
      <c r="G52" s="70">
        <f>IFERROR(VLOOKUP($D52,Insumos!$B:$U,G$1,0)/VLOOKUP($D52,Insumos!$B:$U,F$1,0),"")</f>
        <v>1300</v>
      </c>
      <c r="H52" s="70">
        <f t="shared" si="2"/>
        <v>1300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92">
        <f t="shared" ref="B53:C53" si="48">IF($D53="","",B52)</f>
        <v>5</v>
      </c>
      <c r="C53" s="92" t="str">
        <f t="shared" si="48"/>
        <v>Brownie 20x20cm</v>
      </c>
      <c r="D53" s="13" t="s">
        <v>410</v>
      </c>
      <c r="E53" s="13" t="str">
        <f>IFERROR(VLOOKUP($D53,Insumos!$B:$U,D$1,0),"")</f>
        <v>Unidad</v>
      </c>
      <c r="F53" s="70">
        <v>1.0</v>
      </c>
      <c r="G53" s="70">
        <f>IFERROR(VLOOKUP($D53,Insumos!$B:$U,G$1,0)/VLOOKUP($D53,Insumos!$B:$U,F$1,0),"")</f>
        <v>6.25</v>
      </c>
      <c r="H53" s="70">
        <f t="shared" si="2"/>
        <v>6.25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91">
        <v>6.0</v>
      </c>
      <c r="C54" s="91" t="s">
        <v>379</v>
      </c>
      <c r="D54" s="66" t="s">
        <v>505</v>
      </c>
      <c r="E54" s="66" t="str">
        <f>IFERROR(VLOOKUP($D54,Insumos!$B:$U,D$1,0),"")</f>
        <v>Grs</v>
      </c>
      <c r="F54" s="67">
        <v>110.0</v>
      </c>
      <c r="G54" s="67">
        <f>IFERROR(VLOOKUP($D54,Insumos!$B:$U,G$1,0)/VLOOKUP($D54,Insumos!$B:$U,F$1,0),"")</f>
        <v>11</v>
      </c>
      <c r="H54" s="67">
        <f t="shared" si="2"/>
        <v>1210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92">
        <f t="shared" ref="B55:C55" si="49">IF($D55="","",B54)</f>
        <v>6</v>
      </c>
      <c r="C55" s="92" t="str">
        <f t="shared" si="49"/>
        <v>Torta brownie 20x20cm</v>
      </c>
      <c r="D55" s="13" t="s">
        <v>395</v>
      </c>
      <c r="E55" s="13" t="str">
        <f>IFERROR(VLOOKUP($D55,Insumos!$B:$U,D$1,0),"")</f>
        <v>Grs</v>
      </c>
      <c r="F55" s="70">
        <f>225+240</f>
        <v>465</v>
      </c>
      <c r="G55" s="70">
        <f>IFERROR(VLOOKUP($D55,Insumos!$B:$U,G$1,0)/VLOOKUP($D55,Insumos!$B:$U,F$1,0),"")</f>
        <v>1.4</v>
      </c>
      <c r="H55" s="70">
        <f t="shared" si="2"/>
        <v>651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92">
        <f t="shared" ref="B56:C56" si="50">IF($D56="","",B55)</f>
        <v>6</v>
      </c>
      <c r="C56" s="92" t="str">
        <f t="shared" si="50"/>
        <v>Torta brownie 20x20cm</v>
      </c>
      <c r="D56" s="13" t="s">
        <v>492</v>
      </c>
      <c r="E56" s="13" t="str">
        <f>IFERROR(VLOOKUP($D56,Insumos!$B:$U,D$1,0),"")</f>
        <v>Unidad</v>
      </c>
      <c r="F56" s="70">
        <f>3+4</f>
        <v>7</v>
      </c>
      <c r="G56" s="70">
        <f>IFERROR(VLOOKUP($D56,Insumos!$B:$U,G$1,0)/VLOOKUP($D56,Insumos!$B:$U,F$1,0),"")</f>
        <v>166.6666667</v>
      </c>
      <c r="H56" s="70">
        <f t="shared" si="2"/>
        <v>1166.666667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92">
        <f t="shared" ref="B57:C57" si="51">IF($D57="","",B56)</f>
        <v>6</v>
      </c>
      <c r="C57" s="92" t="str">
        <f t="shared" si="51"/>
        <v>Torta brownie 20x20cm</v>
      </c>
      <c r="D57" s="13" t="s">
        <v>454</v>
      </c>
      <c r="E57" s="13" t="str">
        <f>IFERROR(VLOOKUP($D57,Insumos!$B:$U,D$1,0),"")</f>
        <v>Grs</v>
      </c>
      <c r="F57" s="70">
        <v>110.0</v>
      </c>
      <c r="G57" s="70">
        <f>IFERROR(VLOOKUP($D57,Insumos!$B:$U,G$1,0)/VLOOKUP($D57,Insumos!$B:$U,F$1,0),"")</f>
        <v>10</v>
      </c>
      <c r="H57" s="70">
        <f t="shared" si="2"/>
        <v>1100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92">
        <f t="shared" ref="B58:C58" si="52">IF($D58="","",B57)</f>
        <v>6</v>
      </c>
      <c r="C58" s="92" t="str">
        <f t="shared" si="52"/>
        <v>Torta brownie 20x20cm</v>
      </c>
      <c r="D58" s="13" t="s">
        <v>422</v>
      </c>
      <c r="E58" s="13" t="str">
        <f>IFERROR(VLOOKUP($D58,Insumos!$B:$U,D$1,0),"")</f>
        <v>Grs</v>
      </c>
      <c r="F58" s="70">
        <v>10.0</v>
      </c>
      <c r="G58" s="70">
        <f>IFERROR(VLOOKUP($D58,Insumos!$B:$U,G$1,0)/VLOOKUP($D58,Insumos!$B:$U,F$1,0),"")</f>
        <v>36.11111111</v>
      </c>
      <c r="H58" s="70">
        <f t="shared" si="2"/>
        <v>361.1111111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92">
        <f t="shared" ref="B59:C59" si="53">IF($D59="","",B58)</f>
        <v>6</v>
      </c>
      <c r="C59" s="92" t="str">
        <f t="shared" si="53"/>
        <v>Torta brownie 20x20cm</v>
      </c>
      <c r="D59" s="13" t="s">
        <v>489</v>
      </c>
      <c r="E59" s="13" t="str">
        <f>IFERROR(VLOOKUP($D59,Insumos!$B:$U,D$1,0),"")</f>
        <v>Grs</v>
      </c>
      <c r="F59" s="70">
        <v>65.0</v>
      </c>
      <c r="G59" s="70">
        <f>IFERROR(VLOOKUP($D59,Insumos!$B:$U,G$1,0)/VLOOKUP($D59,Insumos!$B:$U,F$1,0),"")</f>
        <v>0.82</v>
      </c>
      <c r="H59" s="70">
        <f t="shared" si="2"/>
        <v>53.3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92">
        <f t="shared" ref="B60:C60" si="54">IF($D60="","",B59)</f>
        <v>6</v>
      </c>
      <c r="C60" s="92" t="str">
        <f t="shared" si="54"/>
        <v>Torta brownie 20x20cm</v>
      </c>
      <c r="D60" s="13" t="s">
        <v>516</v>
      </c>
      <c r="E60" s="13" t="str">
        <f>IFERROR(VLOOKUP($D60,Insumos!$B:$U,D$1,0),"")</f>
        <v>Grs</v>
      </c>
      <c r="F60" s="70">
        <v>90.0</v>
      </c>
      <c r="G60" s="70">
        <f>IFERROR(VLOOKUP($D60,Insumos!$B:$U,G$1,0)/VLOOKUP($D60,Insumos!$B:$U,F$1,0),"")</f>
        <v>19</v>
      </c>
      <c r="H60" s="70">
        <f t="shared" si="2"/>
        <v>1710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92">
        <f t="shared" ref="B61:C61" si="55">IF($D61="","",B60)</f>
        <v>6</v>
      </c>
      <c r="C61" s="92" t="str">
        <f t="shared" si="55"/>
        <v>Torta brownie 20x20cm</v>
      </c>
      <c r="D61" s="13" t="s">
        <v>426</v>
      </c>
      <c r="E61" s="13" t="str">
        <f>IFERROR(VLOOKUP($D61,Insumos!$B:$U,D$1,0),"")</f>
        <v>Unidad</v>
      </c>
      <c r="F61" s="70">
        <v>1.0</v>
      </c>
      <c r="G61" s="70">
        <f>IFERROR(VLOOKUP($D61,Insumos!$B:$U,G$1,0)/VLOOKUP($D61,Insumos!$B:$U,F$1,0),"")</f>
        <v>975</v>
      </c>
      <c r="H61" s="70">
        <f t="shared" si="2"/>
        <v>975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92">
        <f t="shared" ref="B62:C62" si="56">IF($D62="","",B61)</f>
        <v>6</v>
      </c>
      <c r="C62" s="92" t="str">
        <f t="shared" si="56"/>
        <v>Torta brownie 20x20cm</v>
      </c>
      <c r="D62" s="13" t="s">
        <v>404</v>
      </c>
      <c r="E62" s="13" t="str">
        <f>IFERROR(VLOOKUP($D62,Insumos!$B:$U,D$1,0),"")</f>
        <v>Unidad</v>
      </c>
      <c r="F62" s="70">
        <v>1.0</v>
      </c>
      <c r="G62" s="70">
        <f>IFERROR(VLOOKUP($D62,Insumos!$B:$U,G$1,0)/VLOOKUP($D62,Insumos!$B:$U,F$1,0),"")</f>
        <v>1300</v>
      </c>
      <c r="H62" s="70">
        <f t="shared" si="2"/>
        <v>1300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92">
        <f t="shared" ref="B63:C63" si="57">IF($D63="","",B62)</f>
        <v>6</v>
      </c>
      <c r="C63" s="92" t="str">
        <f t="shared" si="57"/>
        <v>Torta brownie 20x20cm</v>
      </c>
      <c r="D63" s="13" t="s">
        <v>410</v>
      </c>
      <c r="E63" s="13" t="str">
        <f>IFERROR(VLOOKUP($D63,Insumos!$B:$U,D$1,0),"")</f>
        <v>Unidad</v>
      </c>
      <c r="F63" s="70">
        <v>1.0</v>
      </c>
      <c r="G63" s="70">
        <f>IFERROR(VLOOKUP($D63,Insumos!$B:$U,G$1,0)/VLOOKUP($D63,Insumos!$B:$U,F$1,0),"")</f>
        <v>6.25</v>
      </c>
      <c r="H63" s="70">
        <f t="shared" si="2"/>
        <v>6.25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97">
        <f t="shared" ref="B64:C64" si="58">IF($D64="","",B63)</f>
        <v>6</v>
      </c>
      <c r="C64" s="97" t="str">
        <f t="shared" si="58"/>
        <v>Torta brownie 20x20cm</v>
      </c>
      <c r="D64" s="81" t="s">
        <v>466</v>
      </c>
      <c r="E64" s="81" t="str">
        <f>IFERROR(VLOOKUP($D64,Insumos!$B:$U,D$1,0),"")</f>
        <v>Grs</v>
      </c>
      <c r="F64" s="82">
        <v>500.0</v>
      </c>
      <c r="G64" s="82">
        <f>IFERROR(VLOOKUP($D64,Insumos!$B:$U,G$1,0)/VLOOKUP($D64,Insumos!$B:$U,F$1,0),"")</f>
        <v>3.4</v>
      </c>
      <c r="H64" s="82">
        <f t="shared" si="2"/>
        <v>1700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13">
        <v>7.0</v>
      </c>
      <c r="C65" s="13" t="s">
        <v>567</v>
      </c>
      <c r="D65" s="13" t="s">
        <v>489</v>
      </c>
      <c r="E65" s="13" t="str">
        <f>IFERROR(VLOOKUP($D65,Insumos!$B:$U,D$1,0),"")</f>
        <v>Grs</v>
      </c>
      <c r="F65" s="70">
        <v>300.0</v>
      </c>
      <c r="G65" s="70">
        <f>IFERROR(VLOOKUP($D65,Insumos!$B:$U,G$1,0)/VLOOKUP($D65,Insumos!$B:$U,F$1,0),"")</f>
        <v>0.82</v>
      </c>
      <c r="H65" s="70">
        <f t="shared" si="2"/>
        <v>246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13">
        <f t="shared" ref="B66:C66" si="59">IF($D66="","",B65)</f>
        <v>7</v>
      </c>
      <c r="C66" s="13" t="str">
        <f t="shared" si="59"/>
        <v>Tarta Frutillas 24cm </v>
      </c>
      <c r="D66" s="13" t="s">
        <v>568</v>
      </c>
      <c r="E66" s="13" t="str">
        <f>IFERROR(VLOOKUP($D66,Insumos!$B:$U,D$1,0),"")</f>
        <v>Grs</v>
      </c>
      <c r="F66" s="70">
        <v>180.0</v>
      </c>
      <c r="G66" s="70">
        <f>IFERROR(VLOOKUP($D66,Insumos!$B:$U,G$1,0)/VLOOKUP($D66,Insumos!$B:$U,F$1,0),"")</f>
        <v>11</v>
      </c>
      <c r="H66" s="70">
        <f t="shared" si="2"/>
        <v>1980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13">
        <f t="shared" ref="B67:C67" si="60">IF($D67="","",B66)</f>
        <v>7</v>
      </c>
      <c r="C67" s="13" t="str">
        <f t="shared" si="60"/>
        <v>Tarta Frutillas 24cm </v>
      </c>
      <c r="D67" s="13" t="s">
        <v>569</v>
      </c>
      <c r="E67" s="13" t="str">
        <f>IFERROR(VLOOKUP($D67,Insumos!$B:$U,D$1,0),"")</f>
        <v>Unidad</v>
      </c>
      <c r="F67" s="70">
        <v>2.0</v>
      </c>
      <c r="G67" s="70">
        <f>IFERROR(VLOOKUP($D67,Insumos!$B:$U,G$1,0)/VLOOKUP($D67,Insumos!$B:$U,F$1,0),"")</f>
        <v>166.6666667</v>
      </c>
      <c r="H67" s="70">
        <f t="shared" si="2"/>
        <v>333.3333333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13">
        <f t="shared" ref="B68:C68" si="61">IF($D68="","",B67)</f>
        <v>7</v>
      </c>
      <c r="C68" s="13" t="str">
        <f t="shared" si="61"/>
        <v>Tarta Frutillas 24cm </v>
      </c>
      <c r="D68" s="13" t="s">
        <v>397</v>
      </c>
      <c r="E68" s="13" t="str">
        <f>IFERROR(VLOOKUP($D68,Insumos!$B:$U,D$1,0),"")</f>
        <v>Grs</v>
      </c>
      <c r="F68" s="70">
        <v>120.0</v>
      </c>
      <c r="G68" s="70">
        <f>IFERROR(VLOOKUP($D68,Insumos!$B:$U,G$1,0)/VLOOKUP($D68,Insumos!$B:$U,F$1,0),"")</f>
        <v>1.5</v>
      </c>
      <c r="H68" s="70">
        <f t="shared" si="2"/>
        <v>180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13">
        <f t="shared" ref="B69:C69" si="62">IF($D69="","",B68)</f>
        <v>7</v>
      </c>
      <c r="C69" s="13" t="str">
        <f t="shared" si="62"/>
        <v>Tarta Frutillas 24cm </v>
      </c>
      <c r="D69" s="13" t="s">
        <v>496</v>
      </c>
      <c r="E69" s="13" t="str">
        <f>IFERROR(VLOOKUP($D69,Insumos!$B:$U,D$1,0),"")</f>
        <v>Cm3</v>
      </c>
      <c r="F69" s="70">
        <v>500.0</v>
      </c>
      <c r="G69" s="70">
        <f>IFERROR(VLOOKUP($D69,Insumos!$B:$U,G$1,0)/VLOOKUP($D69,Insumos!$B:$U,F$1,0),"")</f>
        <v>2.1</v>
      </c>
      <c r="H69" s="70">
        <f t="shared" si="2"/>
        <v>1050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13">
        <f t="shared" ref="B70:C70" si="63">IF($D70="","",B69)</f>
        <v>7</v>
      </c>
      <c r="C70" s="13" t="str">
        <f t="shared" si="63"/>
        <v>Tarta Frutillas 24cm </v>
      </c>
      <c r="D70" s="13" t="s">
        <v>395</v>
      </c>
      <c r="E70" s="13" t="str">
        <f>IFERROR(VLOOKUP($D70,Insumos!$B:$U,D$1,0),"")</f>
        <v>Grs</v>
      </c>
      <c r="F70" s="70">
        <v>150.0</v>
      </c>
      <c r="G70" s="70">
        <f>IFERROR(VLOOKUP($D70,Insumos!$B:$U,G$1,0)/VLOOKUP($D70,Insumos!$B:$U,F$1,0),"")</f>
        <v>1.4</v>
      </c>
      <c r="H70" s="70">
        <f t="shared" si="2"/>
        <v>210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13">
        <f t="shared" ref="B71:C71" si="64">IF($D71="","",B70)</f>
        <v>7</v>
      </c>
      <c r="C71" s="13" t="str">
        <f t="shared" si="64"/>
        <v>Tarta Frutillas 24cm </v>
      </c>
      <c r="D71" s="13" t="s">
        <v>501</v>
      </c>
      <c r="E71" s="13" t="str">
        <f>IFERROR(VLOOKUP($D71,Insumos!$B:$U,D$1,0),"")</f>
        <v>Grs</v>
      </c>
      <c r="F71" s="70">
        <v>45.0</v>
      </c>
      <c r="G71" s="70">
        <f>IFERROR(VLOOKUP($D71,Insumos!$B:$U,G$1,0)/VLOOKUP($D71,Insumos!$B:$U,F$1,0),"")</f>
        <v>2.8</v>
      </c>
      <c r="H71" s="70">
        <f t="shared" si="2"/>
        <v>126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81">
        <f>IF($D72="","",B71)</f>
        <v>7</v>
      </c>
      <c r="C72" s="81" t="str">
        <f>IF($D71="","",C70)</f>
        <v>Tarta Frutillas 24cm </v>
      </c>
      <c r="D72" s="81" t="s">
        <v>479</v>
      </c>
      <c r="E72" s="81" t="str">
        <f>IFERROR(VLOOKUP($D72,Insumos!$B:$U,D$1,0),"")</f>
        <v>Unidad</v>
      </c>
      <c r="F72" s="82">
        <v>500.0</v>
      </c>
      <c r="G72" s="82">
        <f>IFERROR(VLOOKUP($D72,Insumos!$B:$U,G$1,0)/VLOOKUP($D72,Insumos!$B:$U,F$1,0),"")</f>
        <v>4</v>
      </c>
      <c r="H72" s="82">
        <f t="shared" si="2"/>
        <v>2000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13">
        <v>7.0</v>
      </c>
      <c r="C73" s="13" t="str">
        <f>IF($D71="","",C70)</f>
        <v>Tarta Frutillas 24cm </v>
      </c>
      <c r="D73" s="13"/>
      <c r="E73" s="13"/>
      <c r="F73" s="70"/>
      <c r="G73" s="70"/>
      <c r="H73" s="7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13">
        <v>8.0</v>
      </c>
      <c r="C74" s="13" t="s">
        <v>570</v>
      </c>
      <c r="D74" s="13" t="s">
        <v>505</v>
      </c>
      <c r="E74" s="13" t="str">
        <f>IFERROR(VLOOKUP($D74,Insumos!$B:$U,D$1,0),"")</f>
        <v>Grs</v>
      </c>
      <c r="F74" s="70">
        <v>125.0</v>
      </c>
      <c r="G74" s="70">
        <f>IFERROR(VLOOKUP($D74,Insumos!$B:$U,G$1,0)/VLOOKUP($D74,Insumos!$B:$U,F$1,0),"")</f>
        <v>11</v>
      </c>
      <c r="H74" s="70">
        <f t="shared" ref="H74:H1062" si="66">IFERROR(F74*G74,"")</f>
        <v>1375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13">
        <f t="shared" ref="B75:C75" si="65">IF($D75="","",B74)</f>
        <v>8</v>
      </c>
      <c r="C75" s="13" t="str">
        <f t="shared" si="65"/>
        <v>Bombas De DDL</v>
      </c>
      <c r="D75" s="13" t="s">
        <v>395</v>
      </c>
      <c r="E75" s="13" t="str">
        <f>IFERROR(VLOOKUP($D75,Insumos!$B:$U,D$1,0),"")</f>
        <v>Grs</v>
      </c>
      <c r="F75" s="70">
        <v>1.0</v>
      </c>
      <c r="G75" s="70">
        <f>IFERROR(VLOOKUP($D75,Insumos!$B:$U,G$1,0)/VLOOKUP($D75,Insumos!$B:$U,F$1,0),"")</f>
        <v>1.4</v>
      </c>
      <c r="H75" s="70">
        <f t="shared" si="66"/>
        <v>1.4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13">
        <f t="shared" ref="B76:C76" si="67">IF($D76="","",B75)</f>
        <v>8</v>
      </c>
      <c r="C76" s="13" t="str">
        <f t="shared" si="67"/>
        <v>Bombas De DDL</v>
      </c>
      <c r="D76" s="13" t="s">
        <v>489</v>
      </c>
      <c r="E76" s="13" t="str">
        <f>IFERROR(VLOOKUP($D76,Insumos!$B:$U,D$1,0),"")</f>
        <v>Grs</v>
      </c>
      <c r="F76" s="70">
        <v>190.0</v>
      </c>
      <c r="G76" s="70">
        <f>IFERROR(VLOOKUP($D76,Insumos!$B:$U,G$1,0)/VLOOKUP($D76,Insumos!$B:$U,F$1,0),"")</f>
        <v>0.82</v>
      </c>
      <c r="H76" s="70">
        <f t="shared" si="66"/>
        <v>155.8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13">
        <f t="shared" ref="B77:C77" si="68">IF($D77="","",B76)</f>
        <v>8</v>
      </c>
      <c r="C77" s="13" t="str">
        <f t="shared" si="68"/>
        <v>Bombas De DDL</v>
      </c>
      <c r="D77" s="13" t="s">
        <v>492</v>
      </c>
      <c r="E77" s="13" t="str">
        <f>IFERROR(VLOOKUP($D77,Insumos!$B:$U,D$1,0),"")</f>
        <v>Unidad</v>
      </c>
      <c r="F77" s="70">
        <v>5.0</v>
      </c>
      <c r="G77" s="70">
        <f>IFERROR(VLOOKUP($D77,Insumos!$B:$U,G$1,0)/VLOOKUP($D77,Insumos!$B:$U,F$1,0),"")</f>
        <v>166.6666667</v>
      </c>
      <c r="H77" s="70">
        <f t="shared" si="66"/>
        <v>833.3333333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13">
        <f t="shared" ref="B78:C78" si="69">IF($D78="","",B77)</f>
        <v>8</v>
      </c>
      <c r="C78" s="13" t="str">
        <f t="shared" si="69"/>
        <v>Bombas De DDL</v>
      </c>
      <c r="D78" s="13" t="s">
        <v>466</v>
      </c>
      <c r="E78" s="13" t="str">
        <f>IFERROR(VLOOKUP($D78,Insumos!$B:$U,D$1,0),"")</f>
        <v>Grs</v>
      </c>
      <c r="F78" s="70">
        <v>500.0</v>
      </c>
      <c r="G78" s="70">
        <f>IFERROR(VLOOKUP($D78,Insumos!$B:$U,G$1,0)/VLOOKUP($D78,Insumos!$B:$U,F$1,0),"")</f>
        <v>3.4</v>
      </c>
      <c r="H78" s="70">
        <f t="shared" si="66"/>
        <v>1700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13">
        <f t="shared" ref="B79:C79" si="70">IF($D79="","",B78)</f>
        <v>8</v>
      </c>
      <c r="C79" s="13" t="str">
        <f t="shared" si="70"/>
        <v>Bombas De DDL</v>
      </c>
      <c r="D79" s="13" t="s">
        <v>504</v>
      </c>
      <c r="E79" s="13" t="str">
        <f>IFERROR(VLOOKUP($D79,Insumos!$B:$U,D$1,0),"")</f>
        <v>Unidad</v>
      </c>
      <c r="F79" s="70">
        <v>2.0</v>
      </c>
      <c r="G79" s="70">
        <f>IFERROR(VLOOKUP($D79,Insumos!$B:$U,G$1,0)/VLOOKUP($D79,Insumos!$B:$U,F$1,0),"")</f>
        <v>400</v>
      </c>
      <c r="H79" s="70">
        <f t="shared" si="66"/>
        <v>800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81">
        <f t="shared" ref="B80:C80" si="71">IF($D80="","",B79)</f>
        <v>8</v>
      </c>
      <c r="C80" s="81" t="str">
        <f t="shared" si="71"/>
        <v>Bombas De DDL</v>
      </c>
      <c r="D80" s="81" t="s">
        <v>454</v>
      </c>
      <c r="E80" s="81" t="str">
        <f>IFERROR(VLOOKUP($D80,Insumos!$B:$U,D$1,0),"")</f>
        <v>Grs</v>
      </c>
      <c r="F80" s="82">
        <v>200.0</v>
      </c>
      <c r="G80" s="82">
        <f>IFERROR(VLOOKUP($D80,Insumos!$B:$U,G$1,0)/VLOOKUP($D80,Insumos!$B:$U,F$1,0),"")</f>
        <v>10</v>
      </c>
      <c r="H80" s="82">
        <f t="shared" si="66"/>
        <v>2000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13">
        <v>9.0</v>
      </c>
      <c r="C81" s="13" t="s">
        <v>571</v>
      </c>
      <c r="D81" s="13" t="s">
        <v>505</v>
      </c>
      <c r="E81" s="13" t="str">
        <f>IFERROR(VLOOKUP($D81,Insumos!$B:$U,D$1,0),"")</f>
        <v>Grs</v>
      </c>
      <c r="F81" s="70">
        <v>125.0</v>
      </c>
      <c r="G81" s="70">
        <f>IFERROR(VLOOKUP($D81,Insumos!$B:$U,G$1,0)/VLOOKUP($D81,Insumos!$B:$U,F$1,0),"")</f>
        <v>11</v>
      </c>
      <c r="H81" s="70">
        <f t="shared" si="66"/>
        <v>1375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13">
        <f t="shared" ref="B82:C82" si="72">IF($D82="","",B81)</f>
        <v>9</v>
      </c>
      <c r="C82" s="13" t="str">
        <f t="shared" si="72"/>
        <v>bombas De Crema</v>
      </c>
      <c r="D82" s="13" t="s">
        <v>395</v>
      </c>
      <c r="E82" s="13" t="str">
        <f>IFERROR(VLOOKUP($D82,Insumos!$B:$U,D$1,0),"")</f>
        <v>Grs</v>
      </c>
      <c r="F82" s="70">
        <v>1.0</v>
      </c>
      <c r="G82" s="70">
        <f>IFERROR(VLOOKUP($D82,Insumos!$B:$U,G$1,0)/VLOOKUP($D82,Insumos!$B:$U,F$1,0),"")</f>
        <v>1.4</v>
      </c>
      <c r="H82" s="70">
        <f t="shared" si="66"/>
        <v>1.4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13">
        <f t="shared" ref="B83:C83" si="73">IF($D83="","",B82)</f>
        <v>9</v>
      </c>
      <c r="C83" s="13" t="str">
        <f t="shared" si="73"/>
        <v>bombas De Crema</v>
      </c>
      <c r="D83" s="13" t="s">
        <v>489</v>
      </c>
      <c r="E83" s="13" t="str">
        <f>IFERROR(VLOOKUP($D83,Insumos!$B:$U,D$1,0),"")</f>
        <v>Grs</v>
      </c>
      <c r="F83" s="70">
        <v>190.0</v>
      </c>
      <c r="G83" s="70">
        <f>IFERROR(VLOOKUP($D83,Insumos!$B:$U,G$1,0)/VLOOKUP($D83,Insumos!$B:$U,F$1,0),"")</f>
        <v>0.82</v>
      </c>
      <c r="H83" s="70">
        <f t="shared" si="66"/>
        <v>155.8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13">
        <f t="shared" ref="B84:C84" si="74">IF($D84="","",B83)</f>
        <v>9</v>
      </c>
      <c r="C84" s="13" t="str">
        <f t="shared" si="74"/>
        <v>bombas De Crema</v>
      </c>
      <c r="D84" s="13" t="s">
        <v>492</v>
      </c>
      <c r="E84" s="13" t="str">
        <f>IFERROR(VLOOKUP($D84,Insumos!$B:$U,D$1,0),"")</f>
        <v>Unidad</v>
      </c>
      <c r="F84" s="70">
        <v>5.0</v>
      </c>
      <c r="G84" s="70">
        <f>IFERROR(VLOOKUP($D84,Insumos!$B:$U,G$1,0)/VLOOKUP($D84,Insumos!$B:$U,F$1,0),"")</f>
        <v>166.6666667</v>
      </c>
      <c r="H84" s="70">
        <f t="shared" si="66"/>
        <v>833.3333333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13">
        <f t="shared" ref="B85:C85" si="75">IF($D85="","",B84)</f>
        <v>9</v>
      </c>
      <c r="C85" s="13" t="str">
        <f t="shared" si="75"/>
        <v>bombas De Crema</v>
      </c>
      <c r="D85" s="13" t="s">
        <v>462</v>
      </c>
      <c r="E85" s="13" t="str">
        <f>IFERROR(VLOOKUP($D85,Insumos!$B:$U,D$1,0),"")</f>
        <v>Grs</v>
      </c>
      <c r="F85" s="70">
        <v>200.0</v>
      </c>
      <c r="G85" s="70">
        <f>IFERROR(VLOOKUP($D85,Insumos!$B:$U,G$1,0)/VLOOKUP($D85,Insumos!$B:$U,F$1,0),"")</f>
        <v>9.2</v>
      </c>
      <c r="H85" s="70">
        <f t="shared" si="66"/>
        <v>1840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13">
        <f t="shared" ref="B86:C86" si="76">IF($D86="","",B85)</f>
        <v>9</v>
      </c>
      <c r="C86" s="13" t="str">
        <f t="shared" si="76"/>
        <v>bombas De Crema</v>
      </c>
      <c r="D86" s="13" t="s">
        <v>504</v>
      </c>
      <c r="E86" s="13" t="str">
        <f>IFERROR(VLOOKUP($D86,Insumos!$B:$U,D$1,0),"")</f>
        <v>Unidad</v>
      </c>
      <c r="F86" s="70">
        <v>2.0</v>
      </c>
      <c r="G86" s="70">
        <f>IFERROR(VLOOKUP($D86,Insumos!$B:$U,G$1,0)/VLOOKUP($D86,Insumos!$B:$U,F$1,0),"")</f>
        <v>400</v>
      </c>
      <c r="H86" s="70">
        <f t="shared" si="66"/>
        <v>800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81">
        <f t="shared" ref="B87:C87" si="77">IF($D87="","",B86)</f>
        <v>9</v>
      </c>
      <c r="C87" s="81" t="str">
        <f t="shared" si="77"/>
        <v>bombas De Crema</v>
      </c>
      <c r="D87" s="81" t="s">
        <v>454</v>
      </c>
      <c r="E87" s="81" t="str">
        <f>IFERROR(VLOOKUP($D87,Insumos!$B:$U,D$1,0),"")</f>
        <v>Grs</v>
      </c>
      <c r="F87" s="82">
        <v>200.0</v>
      </c>
      <c r="G87" s="82">
        <f>IFERROR(VLOOKUP($D87,Insumos!$B:$U,G$1,0)/VLOOKUP($D87,Insumos!$B:$U,F$1,0),"")</f>
        <v>10</v>
      </c>
      <c r="H87" s="82">
        <f t="shared" si="66"/>
        <v>2000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13">
        <v>10.0</v>
      </c>
      <c r="C88" s="13" t="s">
        <v>371</v>
      </c>
      <c r="D88" s="13" t="s">
        <v>505</v>
      </c>
      <c r="E88" s="13" t="str">
        <f>IFERROR(VLOOKUP($D88,Insumos!$B:$U,D$1,0),"")</f>
        <v>Grs</v>
      </c>
      <c r="F88" s="70">
        <v>125.0</v>
      </c>
      <c r="G88" s="70">
        <f>IFERROR(VLOOKUP($D88,Insumos!$B:$U,G$1,0)/VLOOKUP($D88,Insumos!$B:$U,F$1,0),"")</f>
        <v>11</v>
      </c>
      <c r="H88" s="70">
        <f t="shared" si="66"/>
        <v>1375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13">
        <v>10.0</v>
      </c>
      <c r="C89" s="13" t="str">
        <f>IF($D89="","",C88)</f>
        <v>Cookies Chips Chocolatesx15</v>
      </c>
      <c r="D89" s="13" t="s">
        <v>395</v>
      </c>
      <c r="E89" s="13" t="str">
        <f>IFERROR(VLOOKUP($D89,Insumos!$B:$U,D$1,0),"")</f>
        <v>Grs</v>
      </c>
      <c r="F89" s="70">
        <v>125.0</v>
      </c>
      <c r="G89" s="70">
        <f>IFERROR(VLOOKUP($D89,Insumos!$B:$U,G$1,0)/VLOOKUP($D89,Insumos!$B:$U,F$1,0),"")</f>
        <v>1.4</v>
      </c>
      <c r="H89" s="70">
        <f t="shared" si="66"/>
        <v>175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13">
        <f t="shared" ref="B90:C90" si="78">IF($D90="","",B89)</f>
        <v>10</v>
      </c>
      <c r="C90" s="13" t="str">
        <f t="shared" si="78"/>
        <v>Cookies Chips Chocolatesx15</v>
      </c>
      <c r="D90" s="13" t="s">
        <v>569</v>
      </c>
      <c r="E90" s="13" t="str">
        <f>IFERROR(VLOOKUP($D90,Insumos!$B:$U,D$1,0),"")</f>
        <v>Unidad</v>
      </c>
      <c r="F90" s="70">
        <v>1.0</v>
      </c>
      <c r="G90" s="70">
        <f>IFERROR(VLOOKUP($D90,Insumos!$B:$U,G$1,0)/VLOOKUP($D90,Insumos!$B:$U,F$1,0),"")</f>
        <v>166.6666667</v>
      </c>
      <c r="H90" s="70">
        <f t="shared" si="66"/>
        <v>166.6666667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13">
        <f t="shared" ref="B91:C91" si="79">IF($D91="","",B90)</f>
        <v>10</v>
      </c>
      <c r="C91" s="13" t="str">
        <f t="shared" si="79"/>
        <v>Cookies Chips Chocolatesx15</v>
      </c>
      <c r="D91" s="13" t="s">
        <v>489</v>
      </c>
      <c r="E91" s="13" t="str">
        <f>IFERROR(VLOOKUP($D91,Insumos!$B:$U,D$1,0),"")</f>
        <v>Grs</v>
      </c>
      <c r="F91" s="70">
        <v>250.0</v>
      </c>
      <c r="G91" s="70">
        <f>IFERROR(VLOOKUP($D91,Insumos!$B:$U,G$1,0)/VLOOKUP($D91,Insumos!$B:$U,F$1,0),"")</f>
        <v>0.82</v>
      </c>
      <c r="H91" s="70">
        <f t="shared" si="66"/>
        <v>205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13">
        <f t="shared" ref="B92:C92" si="80">IF($D92="","",B91)</f>
        <v>10</v>
      </c>
      <c r="C92" s="13" t="str">
        <f t="shared" si="80"/>
        <v>Cookies Chips Chocolatesx15</v>
      </c>
      <c r="D92" s="13" t="s">
        <v>528</v>
      </c>
      <c r="E92" s="13" t="str">
        <f>IFERROR(VLOOKUP($D92,Insumos!$B:$U,D$1,0),"")</f>
        <v>Grs</v>
      </c>
      <c r="F92" s="70">
        <v>15.0</v>
      </c>
      <c r="G92" s="70">
        <f>IFERROR(VLOOKUP($D92,Insumos!$B:$U,G$1,0)/VLOOKUP($D92,Insumos!$B:$U,F$1,0),"")</f>
        <v>8</v>
      </c>
      <c r="H92" s="70">
        <f t="shared" si="66"/>
        <v>120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13">
        <f>IF($D93="","",B91)</f>
        <v>10</v>
      </c>
      <c r="C93" s="13" t="str">
        <f>IF($D93="","",C92)</f>
        <v>Cookies Chips Chocolatesx15</v>
      </c>
      <c r="D93" s="13" t="s">
        <v>468</v>
      </c>
      <c r="E93" s="13" t="str">
        <f>IFERROR(VLOOKUP($D93,Insumos!$B:$U,D$1,0),"")</f>
        <v>Cm3</v>
      </c>
      <c r="F93" s="70">
        <v>1.0</v>
      </c>
      <c r="G93" s="70">
        <f>IFERROR(VLOOKUP($D93,Insumos!$B:$U,G$1,0)/VLOOKUP($D93,Insumos!$B:$U,F$1,0),"")</f>
        <v>1.52</v>
      </c>
      <c r="H93" s="70">
        <f t="shared" si="66"/>
        <v>1.52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13">
        <f t="shared" ref="B94:C94" si="81">IF($D94="","",B93)</f>
        <v>10</v>
      </c>
      <c r="C94" s="13" t="str">
        <f t="shared" si="81"/>
        <v>Cookies Chips Chocolatesx15</v>
      </c>
      <c r="D94" s="13" t="s">
        <v>452</v>
      </c>
      <c r="E94" s="13" t="str">
        <f>IFERROR(VLOOKUP($D94,Insumos!$B:$U,D$1,0),"")</f>
        <v>Grs</v>
      </c>
      <c r="F94" s="70">
        <v>40.0</v>
      </c>
      <c r="G94" s="70">
        <f>IFERROR(VLOOKUP($D94,Insumos!$B:$U,G$1,0)/VLOOKUP($D94,Insumos!$B:$U,F$1,0),"")</f>
        <v>9</v>
      </c>
      <c r="H94" s="70">
        <f t="shared" si="66"/>
        <v>360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81">
        <f t="shared" ref="B95:C95" si="82">IF($D95="","",B94)</f>
        <v>10</v>
      </c>
      <c r="C95" s="81" t="str">
        <f t="shared" si="82"/>
        <v>Cookies Chips Chocolatesx15</v>
      </c>
      <c r="D95" s="81" t="s">
        <v>411</v>
      </c>
      <c r="E95" s="81" t="str">
        <f>IFERROR(VLOOKUP($D95,Insumos!$B:$U,D$1,0),"")</f>
        <v>Unidad</v>
      </c>
      <c r="F95" s="82">
        <v>1.0</v>
      </c>
      <c r="G95" s="82">
        <f>IFERROR(VLOOKUP($D95,Insumos!$B:$U,G$1,0)/VLOOKUP($D95,Insumos!$B:$U,F$1,0),"")</f>
        <v>7.94</v>
      </c>
      <c r="H95" s="82">
        <f t="shared" si="66"/>
        <v>7.94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92">
        <v>11.0</v>
      </c>
      <c r="C96" s="92" t="s">
        <v>362</v>
      </c>
      <c r="D96" s="13" t="s">
        <v>492</v>
      </c>
      <c r="E96" s="13" t="str">
        <f>IFERROR(VLOOKUP($D96,Insumos!$B:$U,D$1,0),"")</f>
        <v>Unidad</v>
      </c>
      <c r="F96" s="70">
        <v>1.0</v>
      </c>
      <c r="G96" s="70">
        <f>IFERROR(VLOOKUP($D96,Insumos!$B:$U,G$1,0)/VLOOKUP($D96,Insumos!$B:$U,F$1,0),"")</f>
        <v>166.6666667</v>
      </c>
      <c r="H96" s="70">
        <f t="shared" si="66"/>
        <v>166.6666667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92">
        <f t="shared" ref="B97:C97" si="83">IF($D97="","",B96)</f>
        <v>11</v>
      </c>
      <c r="C97" s="92" t="str">
        <f t="shared" si="83"/>
        <v>Alfajores de Nuez x12</v>
      </c>
      <c r="D97" s="13" t="s">
        <v>395</v>
      </c>
      <c r="E97" s="13" t="str">
        <f>IFERROR(VLOOKUP($D97,Insumos!$B:$U,D$1,0),"")</f>
        <v>Grs</v>
      </c>
      <c r="F97" s="70">
        <v>75.0</v>
      </c>
      <c r="G97" s="70">
        <f>IFERROR(VLOOKUP($D97,Insumos!$B:$U,G$1,0)/VLOOKUP($D97,Insumos!$B:$U,F$1,0),"")</f>
        <v>1.4</v>
      </c>
      <c r="H97" s="70">
        <f t="shared" si="66"/>
        <v>105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92">
        <f t="shared" ref="B98:C98" si="84">IF($D98="","",B97)</f>
        <v>11</v>
      </c>
      <c r="C98" s="92" t="str">
        <f t="shared" si="84"/>
        <v>Alfajores de Nuez x12</v>
      </c>
      <c r="D98" s="13" t="s">
        <v>505</v>
      </c>
      <c r="E98" s="13" t="str">
        <f>IFERROR(VLOOKUP($D98,Insumos!$B:$U,D$1,0),"")</f>
        <v>Grs</v>
      </c>
      <c r="F98" s="70">
        <v>75.0</v>
      </c>
      <c r="G98" s="70">
        <f>IFERROR(VLOOKUP($D98,Insumos!$B:$U,G$1,0)/VLOOKUP($D98,Insumos!$B:$U,F$1,0),"")</f>
        <v>11</v>
      </c>
      <c r="H98" s="70">
        <f t="shared" si="66"/>
        <v>825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92">
        <f t="shared" ref="B99:C99" si="85">IF($D99="","",B98)</f>
        <v>11</v>
      </c>
      <c r="C99" s="92" t="str">
        <f t="shared" si="85"/>
        <v>Alfajores de Nuez x12</v>
      </c>
      <c r="D99" s="13" t="s">
        <v>489</v>
      </c>
      <c r="E99" s="13" t="str">
        <f>IFERROR(VLOOKUP($D99,Insumos!$B:$U,D$1,0),"")</f>
        <v>Grs</v>
      </c>
      <c r="F99" s="70">
        <v>75.0</v>
      </c>
      <c r="G99" s="70">
        <f>IFERROR(VLOOKUP($D99,Insumos!$B:$U,G$1,0)/VLOOKUP($D99,Insumos!$B:$U,F$1,0),"")</f>
        <v>0.82</v>
      </c>
      <c r="H99" s="70">
        <f t="shared" si="66"/>
        <v>61.5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92">
        <f t="shared" ref="B100:C100" si="86">IF($D100="","",B99)</f>
        <v>11</v>
      </c>
      <c r="C100" s="92" t="str">
        <f t="shared" si="86"/>
        <v>Alfajores de Nuez x12</v>
      </c>
      <c r="D100" s="13" t="s">
        <v>528</v>
      </c>
      <c r="E100" s="13" t="str">
        <f>IFERROR(VLOOKUP($D100,Insumos!$B:$U,D$1,0),"")</f>
        <v>Grs</v>
      </c>
      <c r="F100" s="70">
        <v>10.0</v>
      </c>
      <c r="G100" s="70">
        <f>IFERROR(VLOOKUP($D100,Insumos!$B:$U,G$1,0)/VLOOKUP($D100,Insumos!$B:$U,F$1,0),"")</f>
        <v>8</v>
      </c>
      <c r="H100" s="70">
        <f t="shared" si="66"/>
        <v>80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92">
        <f>IF($D101="","",B99)</f>
        <v>11</v>
      </c>
      <c r="C101" s="92" t="str">
        <f>IF($D101="","",C100)</f>
        <v>Alfajores de Nuez x12</v>
      </c>
      <c r="D101" s="13" t="s">
        <v>516</v>
      </c>
      <c r="E101" s="13" t="str">
        <f>IFERROR(VLOOKUP($D101,Insumos!$B:$U,D$1,0),"")</f>
        <v>Grs</v>
      </c>
      <c r="F101" s="70">
        <v>75.0</v>
      </c>
      <c r="G101" s="70">
        <f>IFERROR(VLOOKUP($D101,Insumos!$B:$U,G$1,0)/VLOOKUP($D101,Insumos!$B:$U,F$1,0),"")</f>
        <v>19</v>
      </c>
      <c r="H101" s="70">
        <f t="shared" si="66"/>
        <v>1425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92">
        <f t="shared" ref="B102:C102" si="87">IF($D102="","",B101)</f>
        <v>11</v>
      </c>
      <c r="C102" s="92" t="str">
        <f t="shared" si="87"/>
        <v>Alfajores de Nuez x12</v>
      </c>
      <c r="D102" s="13" t="s">
        <v>466</v>
      </c>
      <c r="E102" s="13" t="str">
        <f>IFERROR(VLOOKUP($D102,Insumos!$B:$U,D$1,0),"")</f>
        <v>Grs</v>
      </c>
      <c r="F102" s="70">
        <v>200.0</v>
      </c>
      <c r="G102" s="70">
        <f>IFERROR(VLOOKUP($D102,Insumos!$B:$U,G$1,0)/VLOOKUP($D102,Insumos!$B:$U,F$1,0),"")</f>
        <v>3.4</v>
      </c>
      <c r="H102" s="70">
        <f t="shared" si="66"/>
        <v>680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97">
        <f t="shared" ref="B103:C103" si="88">IF($D103="","",B102)</f>
        <v>11</v>
      </c>
      <c r="C103" s="97" t="str">
        <f t="shared" si="88"/>
        <v>Alfajores de Nuez x12</v>
      </c>
      <c r="D103" s="81" t="s">
        <v>433</v>
      </c>
      <c r="E103" s="81" t="str">
        <f>IFERROR(VLOOKUP($D103,Insumos!$B:$U,D$1,0),"")</f>
        <v>Unidad</v>
      </c>
      <c r="F103" s="82">
        <v>1.0</v>
      </c>
      <c r="G103" s="82">
        <f>IFERROR(VLOOKUP($D103,Insumos!$B:$U,G$1,0)/VLOOKUP($D103,Insumos!$B:$U,F$1,0),"")</f>
        <v>300</v>
      </c>
      <c r="H103" s="82">
        <f t="shared" si="66"/>
        <v>300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3">
        <v>12.0</v>
      </c>
      <c r="C104" s="13" t="s">
        <v>572</v>
      </c>
      <c r="D104" s="13" t="s">
        <v>489</v>
      </c>
      <c r="E104" s="13" t="str">
        <f>IFERROR(VLOOKUP($D104,Insumos!$B:$U,D$1,0),"")</f>
        <v>Grs</v>
      </c>
      <c r="F104" s="70">
        <v>440.0</v>
      </c>
      <c r="G104" s="70">
        <f>IFERROR(VLOOKUP($D104,Insumos!$B:$U,G$1,0)/VLOOKUP($D104,Insumos!$B:$U,F$1,0),"")</f>
        <v>0.82</v>
      </c>
      <c r="H104" s="70">
        <f t="shared" si="66"/>
        <v>360.8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3">
        <f t="shared" ref="B105:B115" si="89">IF($D105="","",B104)</f>
        <v>12</v>
      </c>
      <c r="C105" s="13" t="s">
        <v>572</v>
      </c>
      <c r="D105" s="13" t="s">
        <v>505</v>
      </c>
      <c r="E105" s="13" t="str">
        <f>IFERROR(VLOOKUP($D105,Insumos!$B:$U,D$1,0),"")</f>
        <v>Grs</v>
      </c>
      <c r="F105" s="70">
        <v>270.0</v>
      </c>
      <c r="G105" s="70">
        <f>IFERROR(VLOOKUP($D105,Insumos!$B:$U,G$1,0)/VLOOKUP($D105,Insumos!$B:$U,F$1,0),"")</f>
        <v>11</v>
      </c>
      <c r="H105" s="70">
        <f t="shared" si="66"/>
        <v>2970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3">
        <f t="shared" si="89"/>
        <v>12</v>
      </c>
      <c r="C106" s="13" t="s">
        <v>572</v>
      </c>
      <c r="D106" s="13" t="s">
        <v>492</v>
      </c>
      <c r="E106" s="13" t="str">
        <f>IFERROR(VLOOKUP($D106,Insumos!$B:$U,D$1,0),"")</f>
        <v>Unidad</v>
      </c>
      <c r="F106" s="70">
        <v>4.0</v>
      </c>
      <c r="G106" s="70">
        <f>IFERROR(VLOOKUP($D106,Insumos!$B:$U,G$1,0)/VLOOKUP($D106,Insumos!$B:$U,F$1,0),"")</f>
        <v>166.6666667</v>
      </c>
      <c r="H106" s="70">
        <f t="shared" si="66"/>
        <v>666.6666667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3">
        <f t="shared" si="89"/>
        <v>12</v>
      </c>
      <c r="C107" s="13" t="s">
        <v>572</v>
      </c>
      <c r="D107" s="13" t="s">
        <v>397</v>
      </c>
      <c r="E107" s="13" t="str">
        <f>IFERROR(VLOOKUP($D107,Insumos!$B:$U,D$1,0),"")</f>
        <v>Grs</v>
      </c>
      <c r="F107" s="70">
        <v>180.0</v>
      </c>
      <c r="G107" s="70">
        <f>IFERROR(VLOOKUP($D107,Insumos!$B:$U,G$1,0)/VLOOKUP($D107,Insumos!$B:$U,F$1,0),"")</f>
        <v>1.5</v>
      </c>
      <c r="H107" s="70">
        <f t="shared" si="66"/>
        <v>270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3">
        <f t="shared" si="89"/>
        <v>12</v>
      </c>
      <c r="C108" s="13" t="s">
        <v>572</v>
      </c>
      <c r="D108" s="13" t="s">
        <v>468</v>
      </c>
      <c r="E108" s="13" t="str">
        <f>IFERROR(VLOOKUP($D108,Insumos!$B:$U,D$1,0),"")</f>
        <v>Cm3</v>
      </c>
      <c r="F108" s="70">
        <v>20.0</v>
      </c>
      <c r="G108" s="70">
        <f>IFERROR(VLOOKUP($D108,Insumos!$B:$U,G$1,0)/VLOOKUP($D108,Insumos!$B:$U,F$1,0),"")</f>
        <v>1.52</v>
      </c>
      <c r="H108" s="70">
        <f t="shared" si="66"/>
        <v>30.4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3">
        <f t="shared" si="89"/>
        <v>12</v>
      </c>
      <c r="C109" s="13" t="s">
        <v>572</v>
      </c>
      <c r="D109" s="13" t="s">
        <v>466</v>
      </c>
      <c r="E109" s="13" t="str">
        <f>IFERROR(VLOOKUP($D109,Insumos!$B:$U,D$1,0),"")</f>
        <v>Grs</v>
      </c>
      <c r="F109" s="70">
        <v>200.0</v>
      </c>
      <c r="G109" s="70">
        <f>IFERROR(VLOOKUP($D109,Insumos!$B:$U,G$1,0)/VLOOKUP($D109,Insumos!$B:$U,F$1,0),"")</f>
        <v>3.4</v>
      </c>
      <c r="H109" s="70">
        <f t="shared" si="66"/>
        <v>680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3">
        <f t="shared" si="89"/>
        <v>12</v>
      </c>
      <c r="C110" s="13" t="s">
        <v>572</v>
      </c>
      <c r="D110" s="13" t="s">
        <v>457</v>
      </c>
      <c r="E110" s="13" t="str">
        <f>IFERROR(VLOOKUP($D110,Insumos!$B:$U,D$1,0),"")</f>
        <v>Grs</v>
      </c>
      <c r="F110" s="70">
        <v>200.0</v>
      </c>
      <c r="G110" s="70">
        <f>IFERROR(VLOOKUP($D110,Insumos!$B:$U,G$1,0)/VLOOKUP($D110,Insumos!$B:$U,F$1,0),"")</f>
        <v>10.5</v>
      </c>
      <c r="H110" s="70">
        <f t="shared" si="66"/>
        <v>2100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3">
        <f t="shared" si="89"/>
        <v>12</v>
      </c>
      <c r="C111" s="13" t="s">
        <v>572</v>
      </c>
      <c r="D111" s="13" t="s">
        <v>573</v>
      </c>
      <c r="E111" s="13" t="str">
        <f>IFERROR(VLOOKUP($D111,Insumos!$B:$U,D$1,0),"")</f>
        <v>Grs</v>
      </c>
      <c r="F111" s="70">
        <v>100.0</v>
      </c>
      <c r="G111" s="70">
        <f>IFERROR(VLOOKUP($D111,Insumos!$B:$U,G$1,0)/VLOOKUP($D111,Insumos!$B:$U,F$1,0),"")</f>
        <v>1.4</v>
      </c>
      <c r="H111" s="70">
        <f t="shared" si="66"/>
        <v>140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3">
        <f t="shared" si="89"/>
        <v>12</v>
      </c>
      <c r="C112" s="13" t="s">
        <v>572</v>
      </c>
      <c r="D112" s="13" t="s">
        <v>513</v>
      </c>
      <c r="E112" s="13" t="str">
        <f>IFERROR(VLOOKUP($D112,Insumos!$B:$U,D$1,0),"")</f>
        <v>Cm3</v>
      </c>
      <c r="F112" s="70">
        <v>10.0</v>
      </c>
      <c r="G112" s="70">
        <f>IFERROR(VLOOKUP($D112,Insumos!$B:$U,G$1,0)/VLOOKUP($D112,Insumos!$B:$U,F$1,0),"")</f>
        <v>4.5</v>
      </c>
      <c r="H112" s="70">
        <f t="shared" si="66"/>
        <v>45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3">
        <f t="shared" si="89"/>
        <v>12</v>
      </c>
      <c r="C113" s="13" t="s">
        <v>572</v>
      </c>
      <c r="D113" s="13" t="s">
        <v>426</v>
      </c>
      <c r="E113" s="13" t="str">
        <f>IFERROR(VLOOKUP($D113,Insumos!$B:$U,D$1,0),"")</f>
        <v>Unidad</v>
      </c>
      <c r="F113" s="70">
        <v>1.0</v>
      </c>
      <c r="G113" s="70">
        <f>IFERROR(VLOOKUP($D113,Insumos!$B:$U,G$1,0)/VLOOKUP($D113,Insumos!$B:$U,F$1,0),"")</f>
        <v>975</v>
      </c>
      <c r="H113" s="70">
        <f t="shared" si="66"/>
        <v>975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13">
        <f t="shared" si="89"/>
        <v>12</v>
      </c>
      <c r="C114" s="13" t="s">
        <v>572</v>
      </c>
      <c r="D114" s="13" t="s">
        <v>404</v>
      </c>
      <c r="E114" s="13" t="str">
        <f>IFERROR(VLOOKUP($D114,Insumos!$B:$U,D$1,0),"")</f>
        <v>Unidad</v>
      </c>
      <c r="F114" s="70">
        <v>1.0</v>
      </c>
      <c r="G114" s="70">
        <f>IFERROR(VLOOKUP($D114,Insumos!$B:$U,G$1,0)/VLOOKUP($D114,Insumos!$B:$U,F$1,0),"")</f>
        <v>1300</v>
      </c>
      <c r="H114" s="70">
        <f t="shared" si="66"/>
        <v>1300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81">
        <f t="shared" si="89"/>
        <v>12</v>
      </c>
      <c r="C115" s="81" t="s">
        <v>572</v>
      </c>
      <c r="D115" s="81" t="s">
        <v>410</v>
      </c>
      <c r="E115" s="81" t="str">
        <f>IFERROR(VLOOKUP($D115,Insumos!$B:$U,D$1,0),"")</f>
        <v>Unidad</v>
      </c>
      <c r="F115" s="82">
        <v>1.0</v>
      </c>
      <c r="G115" s="82">
        <f>IFERROR(VLOOKUP($D115,Insumos!$B:$U,G$1,0)/VLOOKUP($D115,Insumos!$B:$U,F$1,0),"")</f>
        <v>6.25</v>
      </c>
      <c r="H115" s="82">
        <f t="shared" si="66"/>
        <v>6.25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3">
        <v>13.0</v>
      </c>
      <c r="C116" s="13" t="s">
        <v>574</v>
      </c>
      <c r="D116" s="13" t="s">
        <v>569</v>
      </c>
      <c r="E116" s="13" t="str">
        <f>IFERROR(VLOOKUP($D116,Insumos!$B:$U,D$1,0),"")</f>
        <v>Unidad</v>
      </c>
      <c r="F116" s="70">
        <v>5.0</v>
      </c>
      <c r="G116" s="70">
        <f>IFERROR(VLOOKUP($D116,Insumos!$B:$U,G$1,0)/VLOOKUP($D116,Insumos!$B:$U,F$1,0),"")</f>
        <v>166.6666667</v>
      </c>
      <c r="H116" s="70">
        <f t="shared" si="66"/>
        <v>833.3333333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3">
        <f t="shared" ref="B117:B127" si="90">IF($D117="","",B116)</f>
        <v>13</v>
      </c>
      <c r="C117" s="13" t="s">
        <v>574</v>
      </c>
      <c r="D117" s="13" t="s">
        <v>573</v>
      </c>
      <c r="E117" s="13" t="str">
        <f>IFERROR(VLOOKUP($D117,Insumos!$B:$U,D$1,0),"")</f>
        <v>Grs</v>
      </c>
      <c r="F117" s="70">
        <v>120.0</v>
      </c>
      <c r="G117" s="70">
        <f>IFERROR(VLOOKUP($D117,Insumos!$B:$U,G$1,0)/VLOOKUP($D117,Insumos!$B:$U,F$1,0),"")</f>
        <v>1.4</v>
      </c>
      <c r="H117" s="70">
        <f t="shared" si="66"/>
        <v>168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3">
        <f t="shared" si="90"/>
        <v>13</v>
      </c>
      <c r="C118" s="13" t="s">
        <v>574</v>
      </c>
      <c r="D118" s="13" t="s">
        <v>468</v>
      </c>
      <c r="E118" s="13" t="str">
        <f>IFERROR(VLOOKUP($D118,Insumos!$B:$U,D$1,0),"")</f>
        <v>Cm3</v>
      </c>
      <c r="F118" s="70">
        <v>10.0</v>
      </c>
      <c r="G118" s="70">
        <f>IFERROR(VLOOKUP($D118,Insumos!$B:$U,G$1,0)/VLOOKUP($D118,Insumos!$B:$U,F$1,0),"")</f>
        <v>1.52</v>
      </c>
      <c r="H118" s="70">
        <f t="shared" si="66"/>
        <v>15.2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3">
        <f t="shared" si="90"/>
        <v>13</v>
      </c>
      <c r="C119" s="13" t="s">
        <v>574</v>
      </c>
      <c r="D119" s="13" t="s">
        <v>491</v>
      </c>
      <c r="E119" s="13" t="str">
        <f>IFERROR(VLOOKUP($D119,Insumos!$B:$U,D$1,0),"")</f>
        <v>Grs</v>
      </c>
      <c r="F119" s="70">
        <v>130.0</v>
      </c>
      <c r="G119" s="70">
        <f>IFERROR(VLOOKUP($D119,Insumos!$B:$U,G$1,0)/VLOOKUP($D119,Insumos!$B:$U,F$1,0),"")</f>
        <v>1.5</v>
      </c>
      <c r="H119" s="70">
        <f t="shared" si="66"/>
        <v>195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3">
        <f t="shared" si="90"/>
        <v>13</v>
      </c>
      <c r="C120" s="13" t="s">
        <v>574</v>
      </c>
      <c r="D120" s="13" t="s">
        <v>422</v>
      </c>
      <c r="E120" s="13" t="str">
        <f>IFERROR(VLOOKUP($D120,Insumos!$B:$U,D$1,0),"")</f>
        <v>Grs</v>
      </c>
      <c r="F120" s="70">
        <v>60.0</v>
      </c>
      <c r="G120" s="70">
        <f>IFERROR(VLOOKUP($D120,Insumos!$B:$U,G$1,0)/VLOOKUP($D120,Insumos!$B:$U,F$1,0),"")</f>
        <v>36.11111111</v>
      </c>
      <c r="H120" s="70">
        <f t="shared" si="66"/>
        <v>2166.666667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3">
        <f t="shared" si="90"/>
        <v>13</v>
      </c>
      <c r="C121" s="13" t="s">
        <v>574</v>
      </c>
      <c r="D121" s="13" t="s">
        <v>462</v>
      </c>
      <c r="E121" s="13" t="str">
        <f>IFERROR(VLOOKUP($D121,Insumos!$B:$U,D$1,0),"")</f>
        <v>Grs</v>
      </c>
      <c r="F121" s="70">
        <v>400.0</v>
      </c>
      <c r="G121" s="70">
        <f>IFERROR(VLOOKUP($D121,Insumos!$B:$U,G$1,0)/VLOOKUP($D121,Insumos!$B:$U,F$1,0),"")</f>
        <v>9.2</v>
      </c>
      <c r="H121" s="70">
        <f t="shared" si="66"/>
        <v>3680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3">
        <f t="shared" si="90"/>
        <v>13</v>
      </c>
      <c r="C122" s="13" t="s">
        <v>574</v>
      </c>
      <c r="D122" s="13" t="s">
        <v>397</v>
      </c>
      <c r="E122" s="13" t="str">
        <f>IFERROR(VLOOKUP($D122,Insumos!$B:$U,D$1,0),"")</f>
        <v>Grs</v>
      </c>
      <c r="F122" s="70">
        <v>80.0</v>
      </c>
      <c r="G122" s="70">
        <f>IFERROR(VLOOKUP($D122,Insumos!$B:$U,G$1,0)/VLOOKUP($D122,Insumos!$B:$U,F$1,0),"")</f>
        <v>1.5</v>
      </c>
      <c r="H122" s="70">
        <f t="shared" si="66"/>
        <v>120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3">
        <f t="shared" si="90"/>
        <v>13</v>
      </c>
      <c r="C123" s="13" t="s">
        <v>574</v>
      </c>
      <c r="D123" s="13" t="s">
        <v>450</v>
      </c>
      <c r="E123" s="13" t="str">
        <f>IFERROR(VLOOKUP($D123,Insumos!$B:$U,D$1,0),"")</f>
        <v>Grs</v>
      </c>
      <c r="F123" s="70">
        <v>80.0</v>
      </c>
      <c r="G123" s="70">
        <f>IFERROR(VLOOKUP($D123,Insumos!$B:$U,G$1,0)/VLOOKUP($D123,Insumos!$B:$U,F$1,0),"")</f>
        <v>8</v>
      </c>
      <c r="H123" s="70">
        <f t="shared" si="66"/>
        <v>640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3">
        <f t="shared" si="90"/>
        <v>13</v>
      </c>
      <c r="C124" s="13" t="s">
        <v>574</v>
      </c>
      <c r="D124" s="13" t="s">
        <v>512</v>
      </c>
      <c r="E124" s="13" t="str">
        <f>IFERROR(VLOOKUP($D124,Insumos!$B:$U,D$1,0),"")</f>
        <v>Grs</v>
      </c>
      <c r="F124" s="70">
        <v>150.0</v>
      </c>
      <c r="G124" s="70">
        <f>IFERROR(VLOOKUP($D124,Insumos!$B:$U,G$1,0)/VLOOKUP($D124,Insumos!$B:$U,F$1,0),"")</f>
        <v>8.5</v>
      </c>
      <c r="H124" s="70">
        <f t="shared" si="66"/>
        <v>1275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3">
        <f t="shared" si="90"/>
        <v>13</v>
      </c>
      <c r="C125" s="13" t="s">
        <v>574</v>
      </c>
      <c r="D125" s="13" t="s">
        <v>410</v>
      </c>
      <c r="E125" s="13" t="str">
        <f>IFERROR(VLOOKUP($D125,Insumos!$B:$U,D$1,0),"")</f>
        <v>Unidad</v>
      </c>
      <c r="F125" s="70">
        <v>1.0</v>
      </c>
      <c r="G125" s="70">
        <f>IFERROR(VLOOKUP($D125,Insumos!$B:$U,G$1,0)/VLOOKUP($D125,Insumos!$B:$U,F$1,0),"")</f>
        <v>6.25</v>
      </c>
      <c r="H125" s="70">
        <f t="shared" si="66"/>
        <v>6.25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3">
        <f t="shared" si="90"/>
        <v>13</v>
      </c>
      <c r="C126" s="13" t="s">
        <v>574</v>
      </c>
      <c r="D126" s="13" t="s">
        <v>404</v>
      </c>
      <c r="E126" s="13" t="str">
        <f>IFERROR(VLOOKUP($D126,Insumos!$B:$U,D$1,0),"")</f>
        <v>Unidad</v>
      </c>
      <c r="F126" s="70">
        <v>1.0</v>
      </c>
      <c r="G126" s="70">
        <f>IFERROR(VLOOKUP($D126,Insumos!$B:$U,G$1,0)/VLOOKUP($D126,Insumos!$B:$U,F$1,0),"")</f>
        <v>1300</v>
      </c>
      <c r="H126" s="70">
        <f t="shared" si="66"/>
        <v>1300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81">
        <f t="shared" si="90"/>
        <v>13</v>
      </c>
      <c r="C127" s="81" t="s">
        <v>574</v>
      </c>
      <c r="D127" s="81" t="s">
        <v>426</v>
      </c>
      <c r="E127" s="81" t="str">
        <f>IFERROR(VLOOKUP($D127,Insumos!$B:$U,D$1,0),"")</f>
        <v>Unidad</v>
      </c>
      <c r="F127" s="82">
        <v>1.0</v>
      </c>
      <c r="G127" s="82">
        <f>IFERROR(VLOOKUP($D127,Insumos!$B:$U,G$1,0)/VLOOKUP($D127,Insumos!$B:$U,F$1,0),"")</f>
        <v>975</v>
      </c>
      <c r="H127" s="82">
        <f t="shared" si="66"/>
        <v>975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13">
        <v>14.0</v>
      </c>
      <c r="C128" s="98" t="s">
        <v>575</v>
      </c>
      <c r="D128" s="13" t="s">
        <v>576</v>
      </c>
      <c r="E128" s="13" t="str">
        <f>IFERROR(VLOOKUP($D128,Insumos!$B:$U,D$1,0),"")</f>
        <v>Unidad</v>
      </c>
      <c r="F128" s="70">
        <v>70.0</v>
      </c>
      <c r="G128" s="70">
        <f>IFERROR(VLOOKUP($D128,Insumos!$B:$U,G$1,0)/VLOOKUP($D128,Insumos!$B:$U,F$1,0),"")</f>
        <v>116.6666667</v>
      </c>
      <c r="H128" s="70">
        <f t="shared" si="66"/>
        <v>8166.666667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3">
        <f t="shared" ref="B129:B130" si="91">IF($D129="","",B128)</f>
        <v>14</v>
      </c>
      <c r="C129" s="98" t="s">
        <v>575</v>
      </c>
      <c r="D129" s="13" t="s">
        <v>573</v>
      </c>
      <c r="E129" s="13" t="str">
        <f>IFERROR(VLOOKUP($D129,Insumos!$B:$U,D$1,0),"")</f>
        <v>Grs</v>
      </c>
      <c r="F129" s="70">
        <v>220.0</v>
      </c>
      <c r="G129" s="70">
        <f>IFERROR(VLOOKUP($D129,Insumos!$B:$U,G$1,0)/VLOOKUP($D129,Insumos!$B:$U,F$1,0),"")</f>
        <v>1.4</v>
      </c>
      <c r="H129" s="70">
        <f t="shared" si="66"/>
        <v>308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3">
        <f t="shared" si="91"/>
        <v>14</v>
      </c>
      <c r="C130" s="98" t="s">
        <v>575</v>
      </c>
      <c r="D130" s="13" t="s">
        <v>492</v>
      </c>
      <c r="E130" s="13" t="str">
        <f>IFERROR(VLOOKUP($D130,Insumos!$B:$U,D$1,0),"")</f>
        <v>Unidad</v>
      </c>
      <c r="F130" s="70">
        <v>3.0</v>
      </c>
      <c r="G130" s="70">
        <f>IFERROR(VLOOKUP($D130,Insumos!$B:$U,G$1,0)/VLOOKUP($D130,Insumos!$B:$U,F$1,0),"")</f>
        <v>166.6666667</v>
      </c>
      <c r="H130" s="70">
        <f t="shared" si="66"/>
        <v>500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3">
        <v>14.0</v>
      </c>
      <c r="C131" s="98" t="s">
        <v>575</v>
      </c>
      <c r="D131" s="13" t="s">
        <v>482</v>
      </c>
      <c r="E131" s="13" t="str">
        <f>IFERROR(VLOOKUP($D131,Insumos!$B:$U,D$1,0),"")</f>
        <v>Grs</v>
      </c>
      <c r="F131" s="70">
        <v>12.0</v>
      </c>
      <c r="G131" s="70">
        <f>IFERROR(VLOOKUP($D131,Insumos!$B:$U,G$1,0)/VLOOKUP($D131,Insumos!$B:$U,F$1,0),"")</f>
        <v>18</v>
      </c>
      <c r="H131" s="70">
        <f t="shared" si="66"/>
        <v>216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3">
        <v>14.0</v>
      </c>
      <c r="C132" s="98" t="s">
        <v>575</v>
      </c>
      <c r="D132" s="13" t="s">
        <v>533</v>
      </c>
      <c r="E132" s="13" t="str">
        <f>IFERROR(VLOOKUP($D132,Insumos!$B:$U,D$1,0),"")</f>
        <v>Grs</v>
      </c>
      <c r="F132" s="70">
        <v>220.0</v>
      </c>
      <c r="G132" s="70">
        <f>IFERROR(VLOOKUP($D132,Insumos!$B:$U,G$1,0)/VLOOKUP($D132,Insumos!$B:$U,F$1,0),"")</f>
        <v>7.428571429</v>
      </c>
      <c r="H132" s="70">
        <f t="shared" si="66"/>
        <v>1634.285714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3">
        <f t="shared" ref="B133:B137" si="92">IF($D133="","",B132)</f>
        <v>14</v>
      </c>
      <c r="C133" s="98" t="s">
        <v>575</v>
      </c>
      <c r="D133" s="13" t="s">
        <v>462</v>
      </c>
      <c r="E133" s="13" t="str">
        <f>IFERROR(VLOOKUP($D133,Insumos!$B:$U,D$1,0),"")</f>
        <v>Grs</v>
      </c>
      <c r="F133" s="70">
        <v>100.0</v>
      </c>
      <c r="G133" s="70">
        <f>IFERROR(VLOOKUP($D133,Insumos!$B:$U,G$1,0)/VLOOKUP($D133,Insumos!$B:$U,F$1,0),"")</f>
        <v>9.2</v>
      </c>
      <c r="H133" s="70">
        <f t="shared" si="66"/>
        <v>920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3">
        <f t="shared" si="92"/>
        <v>14</v>
      </c>
      <c r="C134" s="98" t="s">
        <v>575</v>
      </c>
      <c r="D134" s="13" t="s">
        <v>422</v>
      </c>
      <c r="E134" s="13" t="str">
        <f>IFERROR(VLOOKUP($D134,Insumos!$B:$U,D$1,0),"")</f>
        <v>Grs</v>
      </c>
      <c r="F134" s="70">
        <v>50.0</v>
      </c>
      <c r="G134" s="70">
        <f>IFERROR(VLOOKUP($D134,Insumos!$B:$U,G$1,0)/VLOOKUP($D134,Insumos!$B:$U,F$1,0),"")</f>
        <v>36.11111111</v>
      </c>
      <c r="H134" s="70">
        <f t="shared" si="66"/>
        <v>1805.555556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3">
        <f t="shared" si="92"/>
        <v>14</v>
      </c>
      <c r="C135" s="98" t="s">
        <v>575</v>
      </c>
      <c r="D135" s="13" t="s">
        <v>425</v>
      </c>
      <c r="E135" s="13" t="str">
        <f>IFERROR(VLOOKUP($D135,Insumos!$B:$U,D$1,0),"")</f>
        <v>Grs</v>
      </c>
      <c r="F135" s="70">
        <v>40.0</v>
      </c>
      <c r="G135" s="70">
        <f>IFERROR(VLOOKUP($D135,Insumos!$B:$U,G$1,0)/VLOOKUP($D135,Insumos!$B:$U,F$1,0),"")</f>
        <v>4.694117647</v>
      </c>
      <c r="H135" s="70">
        <f t="shared" si="66"/>
        <v>187.7647059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3">
        <f t="shared" si="92"/>
        <v>14</v>
      </c>
      <c r="C136" s="98" t="s">
        <v>575</v>
      </c>
      <c r="D136" s="13" t="s">
        <v>402</v>
      </c>
      <c r="E136" s="13" t="str">
        <f>IFERROR(VLOOKUP($D136,Insumos!$B:$U,D$1,0),"")</f>
        <v>Unidad</v>
      </c>
      <c r="F136" s="70">
        <v>1.0</v>
      </c>
      <c r="G136" s="70">
        <f>IFERROR(VLOOKUP($D136,Insumos!$B:$U,G$1,0)/VLOOKUP($D136,Insumos!$B:$U,F$1,0),"")</f>
        <v>5</v>
      </c>
      <c r="H136" s="70">
        <f t="shared" si="66"/>
        <v>5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3">
        <f t="shared" si="92"/>
        <v>14</v>
      </c>
      <c r="C137" s="98" t="s">
        <v>575</v>
      </c>
      <c r="D137" s="13" t="s">
        <v>410</v>
      </c>
      <c r="E137" s="13" t="str">
        <f>IFERROR(VLOOKUP($D137,Insumos!$B:$U,D$1,0),"")</f>
        <v>Unidad</v>
      </c>
      <c r="F137" s="70">
        <v>1.0</v>
      </c>
      <c r="G137" s="70">
        <f>IFERROR(VLOOKUP($D137,Insumos!$B:$U,G$1,0)/VLOOKUP($D137,Insumos!$B:$U,F$1,0),"")</f>
        <v>6.25</v>
      </c>
      <c r="H137" s="70">
        <f t="shared" si="66"/>
        <v>6.25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81">
        <v>14.0</v>
      </c>
      <c r="C138" s="99" t="s">
        <v>575</v>
      </c>
      <c r="D138" s="81" t="s">
        <v>440</v>
      </c>
      <c r="E138" s="81" t="str">
        <f>IFERROR(VLOOKUP($D138,Insumos!$B:$U,D$1,0),"")</f>
        <v>Unidad</v>
      </c>
      <c r="F138" s="82">
        <v>1.0</v>
      </c>
      <c r="G138" s="82">
        <f>IFERROR(VLOOKUP($D138,Insumos!$B:$U,G$1,0)/VLOOKUP($D138,Insumos!$B:$U,F$1,0),"")</f>
        <v>2500</v>
      </c>
      <c r="H138" s="82">
        <f t="shared" si="66"/>
        <v>2500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3">
        <v>15.0</v>
      </c>
      <c r="C139" s="13" t="s">
        <v>577</v>
      </c>
      <c r="D139" s="13" t="s">
        <v>481</v>
      </c>
      <c r="E139" s="13" t="str">
        <f>IFERROR(VLOOKUP($D139,Insumos!$B:$U,D$1,0),"")</f>
        <v>Grs</v>
      </c>
      <c r="F139" s="70">
        <v>120.0</v>
      </c>
      <c r="G139" s="70">
        <f>IFERROR(VLOOKUP($D139,Insumos!$B:$U,G$1,0)/VLOOKUP($D139,Insumos!$B:$U,F$1,0),"")</f>
        <v>10.45751634</v>
      </c>
      <c r="H139" s="70">
        <f t="shared" si="66"/>
        <v>1254.901961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3">
        <f t="shared" ref="B140:B152" si="93">IF($D140="","",B139)</f>
        <v>15</v>
      </c>
      <c r="C140" s="13" t="s">
        <v>577</v>
      </c>
      <c r="D140" s="13" t="s">
        <v>505</v>
      </c>
      <c r="E140" s="13" t="str">
        <f>IFERROR(VLOOKUP($D140,Insumos!$B:$U,D$1,0),"")</f>
        <v>Grs</v>
      </c>
      <c r="F140" s="70">
        <v>100.0</v>
      </c>
      <c r="G140" s="70">
        <f>IFERROR(VLOOKUP($D140,Insumos!$B:$U,G$1,0)/VLOOKUP($D140,Insumos!$B:$U,F$1,0),"")</f>
        <v>11</v>
      </c>
      <c r="H140" s="70">
        <f t="shared" si="66"/>
        <v>1100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3">
        <f t="shared" si="93"/>
        <v>15</v>
      </c>
      <c r="C141" s="13" t="s">
        <v>577</v>
      </c>
      <c r="D141" s="13" t="s">
        <v>395</v>
      </c>
      <c r="E141" s="13" t="str">
        <f>IFERROR(VLOOKUP($D141,Insumos!$B:$U,D$1,0),"")</f>
        <v>Grs</v>
      </c>
      <c r="F141" s="70">
        <v>45.0</v>
      </c>
      <c r="G141" s="70">
        <f>IFERROR(VLOOKUP($D141,Insumos!$B:$U,G$1,0)/VLOOKUP($D141,Insumos!$B:$U,F$1,0),"")</f>
        <v>1.4</v>
      </c>
      <c r="H141" s="70">
        <f t="shared" si="66"/>
        <v>63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3">
        <f t="shared" si="93"/>
        <v>15</v>
      </c>
      <c r="C142" s="13" t="s">
        <v>577</v>
      </c>
      <c r="D142" s="13" t="s">
        <v>397</v>
      </c>
      <c r="E142" s="13" t="str">
        <f>IFERROR(VLOOKUP($D142,Insumos!$B:$U,D$1,0),"")</f>
        <v>Grs</v>
      </c>
      <c r="F142" s="70">
        <v>90.0</v>
      </c>
      <c r="G142" s="70">
        <f>IFERROR(VLOOKUP($D142,Insumos!$B:$U,G$1,0)/VLOOKUP($D142,Insumos!$B:$U,F$1,0),"")</f>
        <v>1.5</v>
      </c>
      <c r="H142" s="70">
        <f t="shared" si="66"/>
        <v>135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3">
        <f t="shared" si="93"/>
        <v>15</v>
      </c>
      <c r="C143" s="13" t="s">
        <v>577</v>
      </c>
      <c r="D143" s="13" t="s">
        <v>489</v>
      </c>
      <c r="E143" s="13" t="str">
        <f>IFERROR(VLOOKUP($D143,Insumos!$B:$U,D$1,0),"")</f>
        <v>Grs</v>
      </c>
      <c r="F143" s="70">
        <v>45.0</v>
      </c>
      <c r="G143" s="70">
        <f>IFERROR(VLOOKUP($D143,Insumos!$B:$U,G$1,0)/VLOOKUP($D143,Insumos!$B:$U,F$1,0),"")</f>
        <v>0.82</v>
      </c>
      <c r="H143" s="70">
        <f t="shared" si="66"/>
        <v>36.9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3">
        <f t="shared" si="93"/>
        <v>15</v>
      </c>
      <c r="C144" s="13" t="s">
        <v>577</v>
      </c>
      <c r="D144" s="13" t="s">
        <v>492</v>
      </c>
      <c r="E144" s="13" t="str">
        <f>IFERROR(VLOOKUP($D144,Insumos!$B:$U,D$1,0),"")</f>
        <v>Unidad</v>
      </c>
      <c r="F144" s="70">
        <v>2.0</v>
      </c>
      <c r="G144" s="70">
        <f>IFERROR(VLOOKUP($D144,Insumos!$B:$U,G$1,0)/VLOOKUP($D144,Insumos!$B:$U,F$1,0),"")</f>
        <v>166.6666667</v>
      </c>
      <c r="H144" s="70">
        <f t="shared" si="66"/>
        <v>333.3333333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3">
        <f t="shared" si="93"/>
        <v>15</v>
      </c>
      <c r="C145" s="13" t="s">
        <v>577</v>
      </c>
      <c r="D145" s="13" t="s">
        <v>462</v>
      </c>
      <c r="E145" s="13" t="str">
        <f>IFERROR(VLOOKUP($D145,Insumos!$B:$U,D$1,0),"")</f>
        <v>Grs</v>
      </c>
      <c r="F145" s="70">
        <v>90.0</v>
      </c>
      <c r="G145" s="70">
        <f>IFERROR(VLOOKUP($D145,Insumos!$B:$U,G$1,0)/VLOOKUP($D145,Insumos!$B:$U,F$1,0),"")</f>
        <v>9.2</v>
      </c>
      <c r="H145" s="70">
        <f t="shared" si="66"/>
        <v>828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3">
        <f t="shared" si="93"/>
        <v>15</v>
      </c>
      <c r="C146" s="13" t="s">
        <v>577</v>
      </c>
      <c r="D146" s="13" t="s">
        <v>533</v>
      </c>
      <c r="E146" s="13" t="str">
        <f>IFERROR(VLOOKUP($D146,Insumos!$B:$U,D$1,0),"")</f>
        <v>Grs</v>
      </c>
      <c r="F146" s="70">
        <v>200.0</v>
      </c>
      <c r="G146" s="70">
        <f>IFERROR(VLOOKUP($D146,Insumos!$B:$U,G$1,0)/VLOOKUP($D146,Insumos!$B:$U,F$1,0),"")</f>
        <v>7.428571429</v>
      </c>
      <c r="H146" s="70">
        <f t="shared" si="66"/>
        <v>1485.714286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3">
        <f t="shared" si="93"/>
        <v>15</v>
      </c>
      <c r="C147" s="13" t="s">
        <v>577</v>
      </c>
      <c r="D147" s="13" t="s">
        <v>500</v>
      </c>
      <c r="E147" s="13" t="str">
        <f>IFERROR(VLOOKUP($D147,Insumos!$B:$U,D$1,0),"")</f>
        <v>Unidad</v>
      </c>
      <c r="F147" s="70">
        <v>1.0</v>
      </c>
      <c r="G147" s="70">
        <f>IFERROR(VLOOKUP($D147,Insumos!$B:$U,G$1,0)/VLOOKUP($D147,Insumos!$B:$U,F$1,0),"")</f>
        <v>180</v>
      </c>
      <c r="H147" s="70">
        <f t="shared" si="66"/>
        <v>180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3">
        <f t="shared" si="93"/>
        <v>15</v>
      </c>
      <c r="C148" s="13" t="s">
        <v>577</v>
      </c>
      <c r="D148" s="13" t="s">
        <v>512</v>
      </c>
      <c r="E148" s="13" t="str">
        <f>IFERROR(VLOOKUP($D148,Insumos!$B:$U,D$1,0),"")</f>
        <v>Grs</v>
      </c>
      <c r="F148" s="70">
        <v>150.0</v>
      </c>
      <c r="G148" s="70">
        <f>IFERROR(VLOOKUP($D148,Insumos!$B:$U,G$1,0)/VLOOKUP($D148,Insumos!$B:$U,F$1,0),"")</f>
        <v>8.5</v>
      </c>
      <c r="H148" s="70">
        <f t="shared" si="66"/>
        <v>1275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3">
        <f t="shared" si="93"/>
        <v>15</v>
      </c>
      <c r="C149" s="13" t="s">
        <v>577</v>
      </c>
      <c r="D149" s="13" t="s">
        <v>479</v>
      </c>
      <c r="E149" s="13" t="str">
        <f>IFERROR(VLOOKUP($D149,Insumos!$B:$U,D$1,0),"")</f>
        <v>Unidad</v>
      </c>
      <c r="F149" s="70">
        <v>100.0</v>
      </c>
      <c r="G149" s="70">
        <f>IFERROR(VLOOKUP($D149,Insumos!$B:$U,G$1,0)/VLOOKUP($D149,Insumos!$B:$U,F$1,0),"")</f>
        <v>4</v>
      </c>
      <c r="H149" s="70">
        <f t="shared" si="66"/>
        <v>400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3">
        <f t="shared" si="93"/>
        <v>15</v>
      </c>
      <c r="C150" s="13" t="s">
        <v>577</v>
      </c>
      <c r="D150" s="13" t="s">
        <v>426</v>
      </c>
      <c r="E150" s="13" t="str">
        <f>IFERROR(VLOOKUP($D150,Insumos!$B:$U,D$1,0),"")</f>
        <v>Unidad</v>
      </c>
      <c r="F150" s="70">
        <v>1.0</v>
      </c>
      <c r="G150" s="70">
        <f>IFERROR(VLOOKUP($D150,Insumos!$B:$U,G$1,0)/VLOOKUP($D150,Insumos!$B:$U,F$1,0),"")</f>
        <v>975</v>
      </c>
      <c r="H150" s="70">
        <f t="shared" si="66"/>
        <v>975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3">
        <f t="shared" si="93"/>
        <v>15</v>
      </c>
      <c r="C151" s="13" t="s">
        <v>577</v>
      </c>
      <c r="D151" s="13" t="s">
        <v>410</v>
      </c>
      <c r="E151" s="13" t="str">
        <f>IFERROR(VLOOKUP($D151,Insumos!$B:$U,D$1,0),"")</f>
        <v>Unidad</v>
      </c>
      <c r="F151" s="70">
        <v>1.0</v>
      </c>
      <c r="G151" s="70">
        <f>IFERROR(VLOOKUP($D151,Insumos!$B:$U,G$1,0)/VLOOKUP($D151,Insumos!$B:$U,F$1,0),"")</f>
        <v>6.25</v>
      </c>
      <c r="H151" s="70">
        <f t="shared" si="66"/>
        <v>6.25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81">
        <f t="shared" si="93"/>
        <v>15</v>
      </c>
      <c r="C152" s="81" t="s">
        <v>577</v>
      </c>
      <c r="D152" s="81" t="s">
        <v>404</v>
      </c>
      <c r="E152" s="81" t="str">
        <f>IFERROR(VLOOKUP($D152,Insumos!$B:$U,D$1,0),"")</f>
        <v>Unidad</v>
      </c>
      <c r="F152" s="82">
        <v>1.0</v>
      </c>
      <c r="G152" s="82">
        <f>IFERROR(VLOOKUP($D152,Insumos!$B:$U,G$1,0)/VLOOKUP($D152,Insumos!$B:$U,F$1,0),"")</f>
        <v>1300</v>
      </c>
      <c r="H152" s="82">
        <f t="shared" si="66"/>
        <v>1300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00">
        <v>16.0</v>
      </c>
      <c r="C153" s="100" t="s">
        <v>578</v>
      </c>
      <c r="D153" s="13" t="s">
        <v>492</v>
      </c>
      <c r="E153" s="13" t="str">
        <f>IFERROR(VLOOKUP($D153,Insumos!$B:$U,D$1,0),"")</f>
        <v>Unidad</v>
      </c>
      <c r="F153" s="70">
        <v>14.0</v>
      </c>
      <c r="G153" s="70">
        <f>IFERROR(VLOOKUP($D153,Insumos!$B:$U,G$1,0)/VLOOKUP($D153,Insumos!$B:$U,F$1,0),"")</f>
        <v>166.6666667</v>
      </c>
      <c r="H153" s="70">
        <f t="shared" si="66"/>
        <v>2333.333333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00">
        <f t="shared" ref="B154:B160" si="94">IF($D154="","",B153)</f>
        <v>16</v>
      </c>
      <c r="C154" s="100" t="s">
        <v>578</v>
      </c>
      <c r="D154" s="13" t="s">
        <v>496</v>
      </c>
      <c r="E154" s="13" t="str">
        <f>IFERROR(VLOOKUP($D154,Insumos!$B:$U,D$1,0),"")</f>
        <v>Cm3</v>
      </c>
      <c r="F154" s="70">
        <v>10.0</v>
      </c>
      <c r="G154" s="70">
        <f>IFERROR(VLOOKUP($D154,Insumos!$B:$U,G$1,0)/VLOOKUP($D154,Insumos!$B:$U,F$1,0),"")</f>
        <v>2.1</v>
      </c>
      <c r="H154" s="70">
        <f t="shared" si="66"/>
        <v>21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00">
        <f t="shared" si="94"/>
        <v>16</v>
      </c>
      <c r="C155" s="100" t="s">
        <v>578</v>
      </c>
      <c r="D155" s="13" t="s">
        <v>489</v>
      </c>
      <c r="E155" s="13" t="str">
        <f>IFERROR(VLOOKUP($D155,Insumos!$B:$U,D$1,0),"")</f>
        <v>Grs</v>
      </c>
      <c r="F155" s="70">
        <v>440.0</v>
      </c>
      <c r="G155" s="70">
        <f>IFERROR(VLOOKUP($D155,Insumos!$B:$U,G$1,0)/VLOOKUP($D155,Insumos!$B:$U,F$1,0),"")</f>
        <v>0.82</v>
      </c>
      <c r="H155" s="70">
        <f t="shared" si="66"/>
        <v>360.8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00">
        <f t="shared" si="94"/>
        <v>16</v>
      </c>
      <c r="C156" s="100" t="s">
        <v>578</v>
      </c>
      <c r="D156" s="13" t="s">
        <v>466</v>
      </c>
      <c r="E156" s="13" t="str">
        <f>IFERROR(VLOOKUP($D156,Insumos!$B:$U,D$1,0),"")</f>
        <v>Grs</v>
      </c>
      <c r="F156" s="70">
        <v>1400.0</v>
      </c>
      <c r="G156" s="70">
        <f>IFERROR(VLOOKUP($D156,Insumos!$B:$U,G$1,0)/VLOOKUP($D156,Insumos!$B:$U,F$1,0),"")</f>
        <v>3.4</v>
      </c>
      <c r="H156" s="70">
        <f t="shared" si="66"/>
        <v>4760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00">
        <f t="shared" si="94"/>
        <v>16</v>
      </c>
      <c r="C157" s="100" t="s">
        <v>578</v>
      </c>
      <c r="D157" s="13" t="s">
        <v>395</v>
      </c>
      <c r="E157" s="13" t="str">
        <f>IFERROR(VLOOKUP($D157,Insumos!$B:$U,D$1,0),"")</f>
        <v>Grs</v>
      </c>
      <c r="F157" s="70">
        <v>400.0</v>
      </c>
      <c r="G157" s="70">
        <f>IFERROR(VLOOKUP($D157,Insumos!$B:$U,G$1,0)/VLOOKUP($D157,Insumos!$B:$U,F$1,0),"")</f>
        <v>1.4</v>
      </c>
      <c r="H157" s="70">
        <f t="shared" si="66"/>
        <v>560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00">
        <f t="shared" si="94"/>
        <v>16</v>
      </c>
      <c r="C158" s="100" t="s">
        <v>578</v>
      </c>
      <c r="D158" s="13" t="s">
        <v>410</v>
      </c>
      <c r="E158" s="13" t="str">
        <f>IFERROR(VLOOKUP($D158,Insumos!$B:$U,D$1,0),"")</f>
        <v>Unidad</v>
      </c>
      <c r="F158" s="70">
        <v>1.0</v>
      </c>
      <c r="G158" s="70">
        <f>IFERROR(VLOOKUP($D158,Insumos!$B:$U,G$1,0)/VLOOKUP($D158,Insumos!$B:$U,F$1,0),"")</f>
        <v>6.25</v>
      </c>
      <c r="H158" s="70">
        <f t="shared" si="66"/>
        <v>6.25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00">
        <f t="shared" si="94"/>
        <v>16</v>
      </c>
      <c r="C159" s="100" t="s">
        <v>578</v>
      </c>
      <c r="D159" s="13" t="s">
        <v>404</v>
      </c>
      <c r="E159" s="13" t="str">
        <f>IFERROR(VLOOKUP($D159,Insumos!$B:$U,D$1,0),"")</f>
        <v>Unidad</v>
      </c>
      <c r="F159" s="70">
        <v>1.0</v>
      </c>
      <c r="G159" s="70">
        <f>IFERROR(VLOOKUP($D159,Insumos!$B:$U,G$1,0)/VLOOKUP($D159,Insumos!$B:$U,F$1,0),"")</f>
        <v>1300</v>
      </c>
      <c r="H159" s="70">
        <f t="shared" si="66"/>
        <v>1300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01">
        <f t="shared" si="94"/>
        <v>16</v>
      </c>
      <c r="C160" s="101" t="s">
        <v>578</v>
      </c>
      <c r="D160" s="81" t="s">
        <v>426</v>
      </c>
      <c r="E160" s="81" t="str">
        <f>IFERROR(VLOOKUP($D160,Insumos!$B:$U,D$1,0),"")</f>
        <v>Unidad</v>
      </c>
      <c r="F160" s="82">
        <v>1.0</v>
      </c>
      <c r="G160" s="82">
        <f>IFERROR(VLOOKUP($D160,Insumos!$B:$U,G$1,0)/VLOOKUP($D160,Insumos!$B:$U,F$1,0),"")</f>
        <v>975</v>
      </c>
      <c r="H160" s="82">
        <f t="shared" si="66"/>
        <v>975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3">
        <v>17.0</v>
      </c>
      <c r="C161" s="13" t="s">
        <v>579</v>
      </c>
      <c r="D161" s="13" t="s">
        <v>455</v>
      </c>
      <c r="E161" s="13" t="str">
        <f>IFERROR(VLOOKUP($D161,Insumos!$B:$U,D$1,0),"")</f>
        <v>Grs</v>
      </c>
      <c r="F161" s="70">
        <v>120.0</v>
      </c>
      <c r="G161" s="70">
        <f>IFERROR(VLOOKUP($D161,Insumos!$B:$U,G$1,0)/VLOOKUP($D161,Insumos!$B:$U,F$1,0),"")</f>
        <v>7.6</v>
      </c>
      <c r="H161" s="70">
        <f t="shared" si="66"/>
        <v>912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3">
        <f t="shared" ref="B162:B175" si="95">IF($D162="","",B161)</f>
        <v>17</v>
      </c>
      <c r="C162" s="13" t="s">
        <v>579</v>
      </c>
      <c r="D162" s="13" t="s">
        <v>505</v>
      </c>
      <c r="E162" s="13" t="str">
        <f>IFERROR(VLOOKUP($D162,Insumos!$B:$U,D$1,0),"")</f>
        <v>Grs</v>
      </c>
      <c r="F162" s="70">
        <v>90.0</v>
      </c>
      <c r="G162" s="70">
        <f>IFERROR(VLOOKUP($D162,Insumos!$B:$U,G$1,0)/VLOOKUP($D162,Insumos!$B:$U,F$1,0),"")</f>
        <v>11</v>
      </c>
      <c r="H162" s="70">
        <f t="shared" si="66"/>
        <v>990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3">
        <f t="shared" si="95"/>
        <v>17</v>
      </c>
      <c r="C163" s="13" t="s">
        <v>579</v>
      </c>
      <c r="D163" s="13" t="s">
        <v>516</v>
      </c>
      <c r="E163" s="13" t="str">
        <f>IFERROR(VLOOKUP($D163,Insumos!$B:$U,D$1,0),"")</f>
        <v>Grs</v>
      </c>
      <c r="F163" s="70">
        <v>30.0</v>
      </c>
      <c r="G163" s="70">
        <f>IFERROR(VLOOKUP($D163,Insumos!$B:$U,G$1,0)/VLOOKUP($D163,Insumos!$B:$U,F$1,0),"")</f>
        <v>19</v>
      </c>
      <c r="H163" s="70">
        <f t="shared" si="66"/>
        <v>570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3">
        <f t="shared" si="95"/>
        <v>17</v>
      </c>
      <c r="C164" s="13" t="s">
        <v>579</v>
      </c>
      <c r="D164" s="13" t="s">
        <v>395</v>
      </c>
      <c r="E164" s="13" t="str">
        <f>IFERROR(VLOOKUP($D164,Insumos!$B:$U,D$1,0),"")</f>
        <v>Grs</v>
      </c>
      <c r="F164" s="70">
        <v>90.0</v>
      </c>
      <c r="G164" s="70">
        <f>IFERROR(VLOOKUP($D164,Insumos!$B:$U,G$1,0)/VLOOKUP($D164,Insumos!$B:$U,F$1,0),"")</f>
        <v>1.4</v>
      </c>
      <c r="H164" s="70">
        <f t="shared" si="66"/>
        <v>126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3">
        <f t="shared" si="95"/>
        <v>17</v>
      </c>
      <c r="C165" s="13" t="s">
        <v>579</v>
      </c>
      <c r="D165" s="13" t="s">
        <v>533</v>
      </c>
      <c r="E165" s="13" t="str">
        <f>IFERROR(VLOOKUP($D165,Insumos!$B:$U,D$1,0),"")</f>
        <v>Grs</v>
      </c>
      <c r="F165" s="70">
        <v>250.0</v>
      </c>
      <c r="G165" s="70">
        <f>IFERROR(VLOOKUP($D165,Insumos!$B:$U,G$1,0)/VLOOKUP($D165,Insumos!$B:$U,F$1,0),"")</f>
        <v>7.428571429</v>
      </c>
      <c r="H165" s="70">
        <f t="shared" si="66"/>
        <v>1857.142857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3">
        <f t="shared" si="95"/>
        <v>17</v>
      </c>
      <c r="C166" s="13" t="s">
        <v>579</v>
      </c>
      <c r="D166" s="13" t="s">
        <v>466</v>
      </c>
      <c r="E166" s="13" t="str">
        <f>IFERROR(VLOOKUP($D166,Insumos!$B:$U,D$1,0),"")</f>
        <v>Grs</v>
      </c>
      <c r="F166" s="70">
        <v>100.0</v>
      </c>
      <c r="G166" s="70">
        <f>IFERROR(VLOOKUP($D166,Insumos!$B:$U,G$1,0)/VLOOKUP($D166,Insumos!$B:$U,F$1,0),"")</f>
        <v>3.4</v>
      </c>
      <c r="H166" s="70">
        <f t="shared" si="66"/>
        <v>340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3">
        <f t="shared" si="95"/>
        <v>17</v>
      </c>
      <c r="C167" s="13" t="s">
        <v>579</v>
      </c>
      <c r="D167" s="13" t="s">
        <v>492</v>
      </c>
      <c r="E167" s="13" t="str">
        <f>IFERROR(VLOOKUP($D167,Insumos!$B:$U,D$1,0),"")</f>
        <v>Unidad</v>
      </c>
      <c r="F167" s="70">
        <v>3.0</v>
      </c>
      <c r="G167" s="70">
        <f>IFERROR(VLOOKUP($D167,Insumos!$B:$U,G$1,0)/VLOOKUP($D167,Insumos!$B:$U,F$1,0),"")</f>
        <v>166.6666667</v>
      </c>
      <c r="H167" s="70">
        <f t="shared" si="66"/>
        <v>500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3">
        <f t="shared" si="95"/>
        <v>17</v>
      </c>
      <c r="C168" s="13" t="s">
        <v>579</v>
      </c>
      <c r="D168" s="13" t="s">
        <v>501</v>
      </c>
      <c r="E168" s="13" t="str">
        <f>IFERROR(VLOOKUP($D168,Insumos!$B:$U,D$1,0),"")</f>
        <v>Grs</v>
      </c>
      <c r="F168" s="70">
        <v>15.0</v>
      </c>
      <c r="G168" s="70">
        <f>IFERROR(VLOOKUP($D168,Insumos!$B:$U,G$1,0)/VLOOKUP($D168,Insumos!$B:$U,F$1,0),"")</f>
        <v>2.8</v>
      </c>
      <c r="H168" s="70">
        <f t="shared" si="66"/>
        <v>42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3">
        <f t="shared" si="95"/>
        <v>17</v>
      </c>
      <c r="C169" s="13" t="s">
        <v>579</v>
      </c>
      <c r="D169" s="13" t="s">
        <v>462</v>
      </c>
      <c r="E169" s="13" t="str">
        <f>IFERROR(VLOOKUP($D169,Insumos!$B:$U,D$1,0),"")</f>
        <v>Grs</v>
      </c>
      <c r="F169" s="70">
        <v>90.0</v>
      </c>
      <c r="G169" s="70">
        <f>IFERROR(VLOOKUP($D169,Insumos!$B:$U,G$1,0)/VLOOKUP($D169,Insumos!$B:$U,F$1,0),"")</f>
        <v>9.2</v>
      </c>
      <c r="H169" s="70">
        <f t="shared" si="66"/>
        <v>828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3">
        <f t="shared" si="95"/>
        <v>17</v>
      </c>
      <c r="C170" s="13" t="s">
        <v>579</v>
      </c>
      <c r="D170" s="13" t="s">
        <v>454</v>
      </c>
      <c r="E170" s="13" t="str">
        <f>IFERROR(VLOOKUP($D170,Insumos!$B:$U,D$1,0),"")</f>
        <v>Grs</v>
      </c>
      <c r="F170" s="70">
        <v>40.0</v>
      </c>
      <c r="G170" s="70">
        <f>IFERROR(VLOOKUP($D170,Insumos!$B:$U,G$1,0)/VLOOKUP($D170,Insumos!$B:$U,F$1,0),"")</f>
        <v>10</v>
      </c>
      <c r="H170" s="70">
        <f t="shared" si="66"/>
        <v>400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3">
        <f t="shared" si="95"/>
        <v>17</v>
      </c>
      <c r="C171" s="13" t="s">
        <v>579</v>
      </c>
      <c r="D171" s="13" t="s">
        <v>397</v>
      </c>
      <c r="E171" s="13" t="str">
        <f>IFERROR(VLOOKUP($D171,Insumos!$B:$U,D$1,0),"")</f>
        <v>Grs</v>
      </c>
      <c r="F171" s="70">
        <v>100.0</v>
      </c>
      <c r="G171" s="70">
        <f>IFERROR(VLOOKUP($D171,Insumos!$B:$U,G$1,0)/VLOOKUP($D171,Insumos!$B:$U,F$1,0),"")</f>
        <v>1.5</v>
      </c>
      <c r="H171" s="70">
        <f t="shared" si="66"/>
        <v>150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3">
        <f t="shared" si="95"/>
        <v>17</v>
      </c>
      <c r="C172" s="13" t="s">
        <v>579</v>
      </c>
      <c r="D172" s="13" t="s">
        <v>422</v>
      </c>
      <c r="E172" s="13" t="str">
        <f>IFERROR(VLOOKUP($D172,Insumos!$B:$U,D$1,0),"")</f>
        <v>Grs</v>
      </c>
      <c r="F172" s="70">
        <v>10.0</v>
      </c>
      <c r="G172" s="70">
        <f>IFERROR(VLOOKUP($D172,Insumos!$B:$U,G$1,0)/VLOOKUP($D172,Insumos!$B:$U,F$1,0),"")</f>
        <v>36.11111111</v>
      </c>
      <c r="H172" s="70">
        <f t="shared" si="66"/>
        <v>361.1111111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3">
        <f t="shared" si="95"/>
        <v>17</v>
      </c>
      <c r="C173" s="13" t="s">
        <v>579</v>
      </c>
      <c r="D173" s="13" t="s">
        <v>426</v>
      </c>
      <c r="E173" s="13" t="str">
        <f>IFERROR(VLOOKUP($D173,Insumos!$B:$U,D$1,0),"")</f>
        <v>Unidad</v>
      </c>
      <c r="F173" s="70">
        <v>1.0</v>
      </c>
      <c r="G173" s="70">
        <f>IFERROR(VLOOKUP($D173,Insumos!$B:$U,G$1,0)/VLOOKUP($D173,Insumos!$B:$U,F$1,0),"")</f>
        <v>975</v>
      </c>
      <c r="H173" s="70">
        <f t="shared" si="66"/>
        <v>975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3">
        <f t="shared" si="95"/>
        <v>17</v>
      </c>
      <c r="C174" s="13" t="s">
        <v>579</v>
      </c>
      <c r="D174" s="13" t="s">
        <v>404</v>
      </c>
      <c r="E174" s="13" t="str">
        <f>IFERROR(VLOOKUP($D174,Insumos!$B:$U,D$1,0),"")</f>
        <v>Unidad</v>
      </c>
      <c r="F174" s="70">
        <v>1.0</v>
      </c>
      <c r="G174" s="70">
        <f>IFERROR(VLOOKUP($D174,Insumos!$B:$U,G$1,0)/VLOOKUP($D174,Insumos!$B:$U,F$1,0),"")</f>
        <v>1300</v>
      </c>
      <c r="H174" s="70">
        <f t="shared" si="66"/>
        <v>1300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81">
        <f t="shared" si="95"/>
        <v>17</v>
      </c>
      <c r="C175" s="81" t="s">
        <v>579</v>
      </c>
      <c r="D175" s="81" t="s">
        <v>410</v>
      </c>
      <c r="E175" s="81" t="str">
        <f>IFERROR(VLOOKUP($D175,Insumos!$B:$U,D$1,0),"")</f>
        <v>Unidad</v>
      </c>
      <c r="F175" s="82">
        <v>1.0</v>
      </c>
      <c r="G175" s="82">
        <f>IFERROR(VLOOKUP($D175,Insumos!$B:$U,G$1,0)/VLOOKUP($D175,Insumos!$B:$U,F$1,0),"")</f>
        <v>6.25</v>
      </c>
      <c r="H175" s="82">
        <f t="shared" si="66"/>
        <v>6.25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3">
        <v>18.0</v>
      </c>
      <c r="C176" s="13" t="s">
        <v>580</v>
      </c>
      <c r="D176" s="13" t="s">
        <v>489</v>
      </c>
      <c r="E176" s="13" t="str">
        <f>IFERROR(VLOOKUP($D176,Insumos!$B:$U,D$1,0),"")</f>
        <v>Grs</v>
      </c>
      <c r="F176" s="70">
        <v>150.0</v>
      </c>
      <c r="G176" s="70">
        <f>IFERROR(VLOOKUP($D176,Insumos!$B:$U,G$1,0)/VLOOKUP($D176,Insumos!$B:$U,F$1,0),"")</f>
        <v>0.82</v>
      </c>
      <c r="H176" s="70">
        <f t="shared" si="66"/>
        <v>123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3">
        <f t="shared" ref="B177:B185" si="96">IF($D177="","",B176)</f>
        <v>18</v>
      </c>
      <c r="C177" s="13" t="s">
        <v>580</v>
      </c>
      <c r="D177" s="13" t="s">
        <v>501</v>
      </c>
      <c r="E177" s="13" t="str">
        <f>IFERROR(VLOOKUP($D177,Insumos!$B:$U,D$1,0),"")</f>
        <v>Grs</v>
      </c>
      <c r="F177" s="70">
        <v>50.0</v>
      </c>
      <c r="G177" s="70">
        <f>IFERROR(VLOOKUP($D177,Insumos!$B:$U,G$1,0)/VLOOKUP($D177,Insumos!$B:$U,F$1,0),"")</f>
        <v>2.8</v>
      </c>
      <c r="H177" s="70">
        <f t="shared" si="66"/>
        <v>140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3">
        <f t="shared" si="96"/>
        <v>18</v>
      </c>
      <c r="C178" s="13" t="s">
        <v>580</v>
      </c>
      <c r="D178" s="13" t="s">
        <v>505</v>
      </c>
      <c r="E178" s="13" t="str">
        <f>IFERROR(VLOOKUP($D178,Insumos!$B:$U,D$1,0),"")</f>
        <v>Grs</v>
      </c>
      <c r="F178" s="70">
        <v>100.0</v>
      </c>
      <c r="G178" s="70">
        <f>IFERROR(VLOOKUP($D178,Insumos!$B:$U,G$1,0)/VLOOKUP($D178,Insumos!$B:$U,F$1,0),"")</f>
        <v>11</v>
      </c>
      <c r="H178" s="70">
        <f t="shared" si="66"/>
        <v>1100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3">
        <f t="shared" si="96"/>
        <v>18</v>
      </c>
      <c r="C179" s="13" t="s">
        <v>580</v>
      </c>
      <c r="D179" s="13" t="s">
        <v>395</v>
      </c>
      <c r="E179" s="13" t="str">
        <f>IFERROR(VLOOKUP($D179,Insumos!$B:$U,D$1,0),"")</f>
        <v>Grs</v>
      </c>
      <c r="F179" s="70">
        <v>60.0</v>
      </c>
      <c r="G179" s="70">
        <f>IFERROR(VLOOKUP($D179,Insumos!$B:$U,G$1,0)/VLOOKUP($D179,Insumos!$B:$U,F$1,0),"")</f>
        <v>1.4</v>
      </c>
      <c r="H179" s="70">
        <f t="shared" si="66"/>
        <v>84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3">
        <f t="shared" si="96"/>
        <v>18</v>
      </c>
      <c r="C180" s="13" t="s">
        <v>580</v>
      </c>
      <c r="D180" s="13" t="s">
        <v>569</v>
      </c>
      <c r="E180" s="13" t="str">
        <f>IFERROR(VLOOKUP($D180,Insumos!$B:$U,D$1,0),"")</f>
        <v>Unidad</v>
      </c>
      <c r="F180" s="70">
        <v>1.0</v>
      </c>
      <c r="G180" s="70">
        <f>IFERROR(VLOOKUP($D180,Insumos!$B:$U,G$1,0)/VLOOKUP($D180,Insumos!$B:$U,F$1,0),"")</f>
        <v>166.6666667</v>
      </c>
      <c r="H180" s="70">
        <f t="shared" si="66"/>
        <v>166.6666667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3">
        <f t="shared" si="96"/>
        <v>18</v>
      </c>
      <c r="C181" s="13" t="s">
        <v>580</v>
      </c>
      <c r="D181" s="13" t="s">
        <v>468</v>
      </c>
      <c r="E181" s="13" t="str">
        <f>IFERROR(VLOOKUP($D181,Insumos!$B:$U,D$1,0),"")</f>
        <v>Cm3</v>
      </c>
      <c r="F181" s="70">
        <v>10.0</v>
      </c>
      <c r="G181" s="70">
        <f>IFERROR(VLOOKUP($D181,Insumos!$B:$U,G$1,0)/VLOOKUP($D181,Insumos!$B:$U,F$1,0),"")</f>
        <v>1.52</v>
      </c>
      <c r="H181" s="70">
        <f t="shared" si="66"/>
        <v>15.2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3">
        <f t="shared" si="96"/>
        <v>18</v>
      </c>
      <c r="C182" s="13" t="s">
        <v>580</v>
      </c>
      <c r="D182" s="13" t="s">
        <v>500</v>
      </c>
      <c r="E182" s="13" t="str">
        <f>IFERROR(VLOOKUP($D182,Insumos!$B:$U,D$1,0),"")</f>
        <v>Unidad</v>
      </c>
      <c r="F182" s="70">
        <v>0.5</v>
      </c>
      <c r="G182" s="70">
        <f>IFERROR(VLOOKUP($D182,Insumos!$B:$U,G$1,0)/VLOOKUP($D182,Insumos!$B:$U,F$1,0),"")</f>
        <v>180</v>
      </c>
      <c r="H182" s="70">
        <f t="shared" si="66"/>
        <v>90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3">
        <f t="shared" si="96"/>
        <v>18</v>
      </c>
      <c r="C183" s="13" t="s">
        <v>580</v>
      </c>
      <c r="D183" s="13" t="s">
        <v>528</v>
      </c>
      <c r="E183" s="13" t="str">
        <f>IFERROR(VLOOKUP($D183,Insumos!$B:$U,D$1,0),"")</f>
        <v>Grs</v>
      </c>
      <c r="F183" s="70">
        <v>10.0</v>
      </c>
      <c r="G183" s="70">
        <f>IFERROR(VLOOKUP($D183,Insumos!$B:$U,G$1,0)/VLOOKUP($D183,Insumos!$B:$U,F$1,0),"")</f>
        <v>8</v>
      </c>
      <c r="H183" s="70">
        <f t="shared" si="66"/>
        <v>80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3">
        <f t="shared" si="96"/>
        <v>18</v>
      </c>
      <c r="C184" s="13" t="s">
        <v>580</v>
      </c>
      <c r="D184" s="13" t="s">
        <v>510</v>
      </c>
      <c r="E184" s="13" t="str">
        <f>IFERROR(VLOOKUP($D184,Insumos!$B:$U,D$1,0),"")</f>
        <v>Grs</v>
      </c>
      <c r="F184" s="70">
        <v>500.0</v>
      </c>
      <c r="G184" s="70">
        <f>IFERROR(VLOOKUP($D184,Insumos!$B:$U,G$1,0)/VLOOKUP($D184,Insumos!$B:$U,F$1,0),"")</f>
        <v>3.89</v>
      </c>
      <c r="H184" s="70">
        <f t="shared" si="66"/>
        <v>1945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3">
        <f t="shared" si="96"/>
        <v>18</v>
      </c>
      <c r="C185" s="13" t="s">
        <v>580</v>
      </c>
      <c r="D185" s="13" t="s">
        <v>404</v>
      </c>
      <c r="E185" s="13" t="str">
        <f>IFERROR(VLOOKUP($D185,Insumos!$B:$U,D$1,0),"")</f>
        <v>Unidad</v>
      </c>
      <c r="F185" s="70">
        <v>1.0</v>
      </c>
      <c r="G185" s="70">
        <f>IFERROR(VLOOKUP($D185,Insumos!$B:$U,G$1,0)/VLOOKUP($D185,Insumos!$B:$U,F$1,0),"")</f>
        <v>1300</v>
      </c>
      <c r="H185" s="70">
        <f t="shared" si="66"/>
        <v>1300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3">
        <v>18.0</v>
      </c>
      <c r="C186" s="13" t="s">
        <v>580</v>
      </c>
      <c r="D186" s="13" t="s">
        <v>426</v>
      </c>
      <c r="E186" s="13" t="s">
        <v>385</v>
      </c>
      <c r="F186" s="70">
        <v>1.0</v>
      </c>
      <c r="G186" s="70">
        <f>IFERROR(VLOOKUP($D186,Insumos!$B:$U,G$1,0)/VLOOKUP($D186,Insumos!$B:$U,F$1,0),"")</f>
        <v>975</v>
      </c>
      <c r="H186" s="70">
        <f t="shared" si="66"/>
        <v>975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81">
        <v>18.0</v>
      </c>
      <c r="C187" s="81" t="s">
        <v>580</v>
      </c>
      <c r="D187" s="81" t="s">
        <v>410</v>
      </c>
      <c r="E187" s="81" t="str">
        <f>IFERROR(VLOOKUP($D187,Insumos!$B:$U,D$1,0),"")</f>
        <v>Unidad</v>
      </c>
      <c r="F187" s="82">
        <v>1.0</v>
      </c>
      <c r="G187" s="82">
        <f>IFERROR(VLOOKUP($D187,Insumos!$B:$U,G$1,0)/VLOOKUP($D187,Insumos!$B:$U,F$1,0),"")</f>
        <v>6.25</v>
      </c>
      <c r="H187" s="82">
        <f t="shared" si="66"/>
        <v>6.25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3">
        <v>19.0</v>
      </c>
      <c r="C188" s="13" t="s">
        <v>581</v>
      </c>
      <c r="D188" s="13" t="s">
        <v>489</v>
      </c>
      <c r="E188" s="13" t="str">
        <f>IFERROR(VLOOKUP($D188,Insumos!$B:$U,D$1,0),"")</f>
        <v>Grs</v>
      </c>
      <c r="F188" s="70">
        <v>150.0</v>
      </c>
      <c r="G188" s="70">
        <f>IFERROR(VLOOKUP($D188,Insumos!$B:$U,G$1,0)/VLOOKUP($D188,Insumos!$B:$U,F$1,0),"")</f>
        <v>0.82</v>
      </c>
      <c r="H188" s="70">
        <f t="shared" si="66"/>
        <v>123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3">
        <f t="shared" ref="B189:C189" si="97">IF($D189="","",B188)</f>
        <v>19</v>
      </c>
      <c r="C189" s="13" t="str">
        <f t="shared" si="97"/>
        <v>Tarta Ricota</v>
      </c>
      <c r="D189" s="13" t="s">
        <v>501</v>
      </c>
      <c r="E189" s="13" t="str">
        <f>IFERROR(VLOOKUP($D189,Insumos!$B:$U,D$1,0),"")</f>
        <v>Grs</v>
      </c>
      <c r="F189" s="70">
        <v>50.0</v>
      </c>
      <c r="G189" s="70">
        <f>IFERROR(VLOOKUP($D189,Insumos!$B:$U,G$1,0)/VLOOKUP($D189,Insumos!$B:$U,F$1,0),"")</f>
        <v>2.8</v>
      </c>
      <c r="H189" s="70">
        <f t="shared" si="66"/>
        <v>140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3">
        <f t="shared" ref="B190:C190" si="98">IF($D190="","",B189)</f>
        <v>19</v>
      </c>
      <c r="C190" s="13" t="str">
        <f t="shared" si="98"/>
        <v>Tarta Ricota</v>
      </c>
      <c r="D190" s="13" t="s">
        <v>505</v>
      </c>
      <c r="E190" s="13" t="str">
        <f>IFERROR(VLOOKUP($D190,Insumos!$B:$U,D$1,0),"")</f>
        <v>Grs</v>
      </c>
      <c r="F190" s="70">
        <v>100.0</v>
      </c>
      <c r="G190" s="70">
        <f>IFERROR(VLOOKUP($D190,Insumos!$B:$U,G$1,0)/VLOOKUP($D190,Insumos!$B:$U,F$1,0),"")</f>
        <v>11</v>
      </c>
      <c r="H190" s="70">
        <f t="shared" si="66"/>
        <v>1100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3">
        <f t="shared" ref="B191:C191" si="99">IF($D191="","",B190)</f>
        <v>19</v>
      </c>
      <c r="C191" s="13" t="str">
        <f t="shared" si="99"/>
        <v>Tarta Ricota</v>
      </c>
      <c r="D191" s="13" t="s">
        <v>395</v>
      </c>
      <c r="E191" s="13" t="str">
        <f>IFERROR(VLOOKUP($D191,Insumos!$B:$U,D$1,0),"")</f>
        <v>Grs</v>
      </c>
      <c r="F191" s="70">
        <v>160.0</v>
      </c>
      <c r="G191" s="70">
        <f>IFERROR(VLOOKUP($D191,Insumos!$B:$U,G$1,0)/VLOOKUP($D191,Insumos!$B:$U,F$1,0),"")</f>
        <v>1.4</v>
      </c>
      <c r="H191" s="70">
        <f t="shared" si="66"/>
        <v>224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3">
        <f t="shared" ref="B192:C192" si="100">IF($D192="","",B191)</f>
        <v>19</v>
      </c>
      <c r="C192" s="13" t="str">
        <f t="shared" si="100"/>
        <v>Tarta Ricota</v>
      </c>
      <c r="D192" s="13" t="s">
        <v>569</v>
      </c>
      <c r="E192" s="13" t="str">
        <f>IFERROR(VLOOKUP($D192,Insumos!$B:$U,D$1,0),"")</f>
        <v>Unidad</v>
      </c>
      <c r="F192" s="70">
        <v>4.0</v>
      </c>
      <c r="G192" s="70">
        <f>IFERROR(VLOOKUP($D192,Insumos!$B:$U,G$1,0)/VLOOKUP($D192,Insumos!$B:$U,F$1,0),"")</f>
        <v>166.6666667</v>
      </c>
      <c r="H192" s="70">
        <f t="shared" si="66"/>
        <v>666.6666667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3">
        <f t="shared" ref="B193:C193" si="101">IF($D193="","",B192)</f>
        <v>19</v>
      </c>
      <c r="C193" s="13" t="str">
        <f t="shared" si="101"/>
        <v>Tarta Ricota</v>
      </c>
      <c r="D193" s="13" t="s">
        <v>468</v>
      </c>
      <c r="E193" s="13" t="str">
        <f>IFERROR(VLOOKUP($D193,Insumos!$B:$U,D$1,0),"")</f>
        <v>Cm3</v>
      </c>
      <c r="F193" s="70">
        <v>10.0</v>
      </c>
      <c r="G193" s="70">
        <f>IFERROR(VLOOKUP($D193,Insumos!$B:$U,G$1,0)/VLOOKUP($D193,Insumos!$B:$U,F$1,0),"")</f>
        <v>1.52</v>
      </c>
      <c r="H193" s="70">
        <f t="shared" si="66"/>
        <v>15.2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3">
        <f t="shared" ref="B194:C194" si="102">IF($D194="","",B193)</f>
        <v>19</v>
      </c>
      <c r="C194" s="13" t="str">
        <f t="shared" si="102"/>
        <v>Tarta Ricota</v>
      </c>
      <c r="D194" s="13" t="s">
        <v>500</v>
      </c>
      <c r="E194" s="13" t="str">
        <f>IFERROR(VLOOKUP($D194,Insumos!$B:$U,D$1,0),"")</f>
        <v>Unidad</v>
      </c>
      <c r="F194" s="70">
        <v>0.5</v>
      </c>
      <c r="G194" s="70">
        <f>IFERROR(VLOOKUP($D194,Insumos!$B:$U,G$1,0)/VLOOKUP($D194,Insumos!$B:$U,F$1,0),"")</f>
        <v>180</v>
      </c>
      <c r="H194" s="70">
        <f t="shared" si="66"/>
        <v>90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3">
        <f t="shared" ref="B195:C195" si="103">IF($D195="","",B194)</f>
        <v>19</v>
      </c>
      <c r="C195" s="13" t="str">
        <f t="shared" si="103"/>
        <v>Tarta Ricota</v>
      </c>
      <c r="D195" s="13" t="s">
        <v>528</v>
      </c>
      <c r="E195" s="13" t="str">
        <f>IFERROR(VLOOKUP($D195,Insumos!$B:$U,D$1,0),"")</f>
        <v>Grs</v>
      </c>
      <c r="F195" s="70">
        <v>10.0</v>
      </c>
      <c r="G195" s="70">
        <f>IFERROR(VLOOKUP($D195,Insumos!$B:$U,G$1,0)/VLOOKUP($D195,Insumos!$B:$U,F$1,0),"")</f>
        <v>8</v>
      </c>
      <c r="H195" s="70">
        <f t="shared" si="66"/>
        <v>80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3">
        <f t="shared" ref="B196:B199" si="104">IF($D196="","",B195)</f>
        <v>19</v>
      </c>
      <c r="C196" s="13" t="s">
        <v>581</v>
      </c>
      <c r="D196" s="13" t="s">
        <v>538</v>
      </c>
      <c r="E196" s="13" t="str">
        <f>IFERROR(VLOOKUP($D196,Insumos!$B:$U,D$1,0),"")</f>
        <v>Grs</v>
      </c>
      <c r="F196" s="70">
        <v>500.0</v>
      </c>
      <c r="G196" s="70">
        <f>IFERROR(VLOOKUP($D196,Insumos!$B:$U,G$1,0)/VLOOKUP($D196,Insumos!$B:$U,F$1,0),"")</f>
        <v>7</v>
      </c>
      <c r="H196" s="70">
        <f t="shared" si="66"/>
        <v>3500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3">
        <f t="shared" si="104"/>
        <v>19</v>
      </c>
      <c r="C197" s="13" t="s">
        <v>581</v>
      </c>
      <c r="D197" s="13" t="s">
        <v>404</v>
      </c>
      <c r="E197" s="13" t="str">
        <f>IFERROR(VLOOKUP($D197,Insumos!$B:$U,D$1,0),"")</f>
        <v>Unidad</v>
      </c>
      <c r="F197" s="70">
        <v>1.0</v>
      </c>
      <c r="G197" s="70">
        <f>IFERROR(VLOOKUP($D197,Insumos!$B:$U,G$1,0)/VLOOKUP($D197,Insumos!$B:$U,F$1,0),"")</f>
        <v>1300</v>
      </c>
      <c r="H197" s="70">
        <f t="shared" si="66"/>
        <v>1300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3">
        <f t="shared" si="104"/>
        <v>19</v>
      </c>
      <c r="C198" s="13" t="s">
        <v>581</v>
      </c>
      <c r="D198" s="13" t="s">
        <v>410</v>
      </c>
      <c r="E198" s="13" t="str">
        <f>IFERROR(VLOOKUP($D198,Insumos!$B:$U,D$1,0),"")</f>
        <v>Unidad</v>
      </c>
      <c r="F198" s="70">
        <v>1.0</v>
      </c>
      <c r="G198" s="70">
        <f>IFERROR(VLOOKUP($D198,Insumos!$B:$U,G$1,0)/VLOOKUP($D198,Insumos!$B:$U,F$1,0),"")</f>
        <v>6.25</v>
      </c>
      <c r="H198" s="70">
        <f t="shared" si="66"/>
        <v>6.25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81">
        <f t="shared" si="104"/>
        <v>19</v>
      </c>
      <c r="C199" s="81" t="s">
        <v>581</v>
      </c>
      <c r="D199" s="13" t="s">
        <v>426</v>
      </c>
      <c r="E199" s="81" t="str">
        <f>IFERROR(VLOOKUP($D199,Insumos!$B:$U,D$1,0),"")</f>
        <v>Unidad</v>
      </c>
      <c r="F199" s="82">
        <v>1.0</v>
      </c>
      <c r="G199" s="82">
        <f>IFERROR(VLOOKUP($D199,Insumos!$B:$U,G$1,0)/VLOOKUP($D199,Insumos!$B:$U,F$1,0),"")</f>
        <v>975</v>
      </c>
      <c r="H199" s="82">
        <f t="shared" si="66"/>
        <v>975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3">
        <v>20.0</v>
      </c>
      <c r="C200" s="13" t="s">
        <v>582</v>
      </c>
      <c r="D200" s="13" t="s">
        <v>505</v>
      </c>
      <c r="E200" s="13" t="str">
        <f>IFERROR(VLOOKUP($D200,Insumos!$B:$U,D$1,0),"")</f>
        <v>Grs</v>
      </c>
      <c r="F200" s="70">
        <v>140.0</v>
      </c>
      <c r="G200" s="70">
        <f>IFERROR(VLOOKUP($D200,Insumos!$B:$U,G$1,0)/VLOOKUP($D200,Insumos!$B:$U,F$1,0),"")</f>
        <v>11</v>
      </c>
      <c r="H200" s="70">
        <f t="shared" si="66"/>
        <v>1540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3">
        <f t="shared" ref="B201:B211" si="105">IF($D201="","",B200)</f>
        <v>20</v>
      </c>
      <c r="C201" s="13" t="s">
        <v>582</v>
      </c>
      <c r="D201" s="13" t="s">
        <v>395</v>
      </c>
      <c r="E201" s="13" t="str">
        <f>IFERROR(VLOOKUP($D201,Insumos!$B:$U,D$1,0),"")</f>
        <v>Grs</v>
      </c>
      <c r="F201" s="70">
        <v>120.0</v>
      </c>
      <c r="G201" s="70">
        <f>IFERROR(VLOOKUP($D201,Insumos!$B:$U,G$1,0)/VLOOKUP($D201,Insumos!$B:$U,F$1,0),"")</f>
        <v>1.4</v>
      </c>
      <c r="H201" s="70">
        <f t="shared" si="66"/>
        <v>168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3">
        <f t="shared" si="105"/>
        <v>20</v>
      </c>
      <c r="C202" s="13" t="str">
        <f t="shared" ref="C202:C211" si="106">IF($D202="","",C201)</f>
        <v>Tarta Frutos Secos</v>
      </c>
      <c r="D202" s="13" t="s">
        <v>492</v>
      </c>
      <c r="E202" s="13" t="str">
        <f>IFERROR(VLOOKUP($D202,Insumos!$B:$U,D$1,0),"")</f>
        <v>Unidad</v>
      </c>
      <c r="F202" s="70">
        <v>1.0</v>
      </c>
      <c r="G202" s="70">
        <f>IFERROR(VLOOKUP($D202,Insumos!$B:$U,G$1,0)/VLOOKUP($D202,Insumos!$B:$U,F$1,0),"")</f>
        <v>166.6666667</v>
      </c>
      <c r="H202" s="70">
        <f t="shared" si="66"/>
        <v>166.6666667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3">
        <f t="shared" si="105"/>
        <v>20</v>
      </c>
      <c r="C203" s="13" t="str">
        <f t="shared" si="106"/>
        <v>Tarta Frutos Secos</v>
      </c>
      <c r="D203" s="13" t="s">
        <v>489</v>
      </c>
      <c r="E203" s="13" t="str">
        <f>IFERROR(VLOOKUP($D203,Insumos!$B:$U,D$1,0),"")</f>
        <v>Grs</v>
      </c>
      <c r="F203" s="70">
        <v>300.0</v>
      </c>
      <c r="G203" s="70">
        <f>IFERROR(VLOOKUP($D203,Insumos!$B:$U,G$1,0)/VLOOKUP($D203,Insumos!$B:$U,F$1,0),"")</f>
        <v>0.82</v>
      </c>
      <c r="H203" s="70">
        <f t="shared" si="66"/>
        <v>246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3">
        <f t="shared" si="105"/>
        <v>20</v>
      </c>
      <c r="C204" s="13" t="str">
        <f t="shared" si="106"/>
        <v>Tarta Frutos Secos</v>
      </c>
      <c r="D204" s="13" t="s">
        <v>528</v>
      </c>
      <c r="E204" s="13" t="str">
        <f>IFERROR(VLOOKUP($D204,Insumos!$B:$U,D$1,0),"")</f>
        <v>Grs</v>
      </c>
      <c r="F204" s="70">
        <v>10.0</v>
      </c>
      <c r="G204" s="70">
        <f>IFERROR(VLOOKUP($D204,Insumos!$B:$U,G$1,0)/VLOOKUP($D204,Insumos!$B:$U,F$1,0),"")</f>
        <v>8</v>
      </c>
      <c r="H204" s="70">
        <f t="shared" si="66"/>
        <v>80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3">
        <f t="shared" si="105"/>
        <v>20</v>
      </c>
      <c r="C205" s="13" t="str">
        <f t="shared" si="106"/>
        <v>Tarta Frutos Secos</v>
      </c>
      <c r="D205" s="13" t="s">
        <v>513</v>
      </c>
      <c r="E205" s="13" t="str">
        <f>IFERROR(VLOOKUP($D205,Insumos!$B:$U,D$1,0),"")</f>
        <v>Cm3</v>
      </c>
      <c r="F205" s="70">
        <v>50.0</v>
      </c>
      <c r="G205" s="70">
        <f>IFERROR(VLOOKUP($D205,Insumos!$B:$U,G$1,0)/VLOOKUP($D205,Insumos!$B:$U,F$1,0),"")</f>
        <v>4.5</v>
      </c>
      <c r="H205" s="70">
        <f t="shared" si="66"/>
        <v>225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3">
        <f t="shared" si="105"/>
        <v>20</v>
      </c>
      <c r="C206" s="13" t="str">
        <f t="shared" si="106"/>
        <v>Tarta Frutos Secos</v>
      </c>
      <c r="D206" s="13" t="s">
        <v>505</v>
      </c>
      <c r="E206" s="13" t="str">
        <f>IFERROR(VLOOKUP($D206,Insumos!$B:$U,D$1,0),"")</f>
        <v>Grs</v>
      </c>
      <c r="F206" s="70">
        <v>30.0</v>
      </c>
      <c r="G206" s="70">
        <f>IFERROR(VLOOKUP($D206,Insumos!$B:$U,G$1,0)/VLOOKUP($D206,Insumos!$B:$U,F$1,0),"")</f>
        <v>11</v>
      </c>
      <c r="H206" s="70">
        <f t="shared" si="66"/>
        <v>330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3">
        <f t="shared" si="105"/>
        <v>20</v>
      </c>
      <c r="C207" s="13" t="str">
        <f t="shared" si="106"/>
        <v>Tarta Frutos Secos</v>
      </c>
      <c r="D207" s="13" t="s">
        <v>516</v>
      </c>
      <c r="E207" s="13" t="str">
        <f>IFERROR(VLOOKUP($D207,Insumos!$B:$U,D$1,0),"")</f>
        <v>Grs</v>
      </c>
      <c r="F207" s="70">
        <v>200.0</v>
      </c>
      <c r="G207" s="70">
        <f>IFERROR(VLOOKUP($D207,Insumos!$B:$U,G$1,0)/VLOOKUP($D207,Insumos!$B:$U,F$1,0),"")</f>
        <v>19</v>
      </c>
      <c r="H207" s="70">
        <f t="shared" si="66"/>
        <v>3800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3">
        <f t="shared" si="105"/>
        <v>20</v>
      </c>
      <c r="C208" s="13" t="str">
        <f t="shared" si="106"/>
        <v>Tarta Frutos Secos</v>
      </c>
      <c r="D208" s="13" t="s">
        <v>426</v>
      </c>
      <c r="E208" s="13" t="str">
        <f>IFERROR(VLOOKUP($D208,Insumos!$B:$U,D$1,0),"")</f>
        <v>Unidad</v>
      </c>
      <c r="F208" s="70">
        <v>1.0</v>
      </c>
      <c r="G208" s="70">
        <f>IFERROR(VLOOKUP($D208,Insumos!$B:$U,G$1,0)/VLOOKUP($D208,Insumos!$B:$U,F$1,0),"")</f>
        <v>975</v>
      </c>
      <c r="H208" s="70">
        <f t="shared" si="66"/>
        <v>975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3">
        <f t="shared" si="105"/>
        <v>20</v>
      </c>
      <c r="C209" s="13" t="str">
        <f t="shared" si="106"/>
        <v>Tarta Frutos Secos</v>
      </c>
      <c r="D209" s="13" t="s">
        <v>404</v>
      </c>
      <c r="E209" s="13" t="str">
        <f>IFERROR(VLOOKUP($D209,Insumos!$B:$U,D$1,0),"")</f>
        <v>Unidad</v>
      </c>
      <c r="F209" s="70">
        <v>1.0</v>
      </c>
      <c r="G209" s="70">
        <f>IFERROR(VLOOKUP($D209,Insumos!$B:$U,G$1,0)/VLOOKUP($D209,Insumos!$B:$U,F$1,0),"")</f>
        <v>1300</v>
      </c>
      <c r="H209" s="70">
        <f t="shared" si="66"/>
        <v>1300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3">
        <f t="shared" si="105"/>
        <v>20</v>
      </c>
      <c r="C210" s="13" t="str">
        <f t="shared" si="106"/>
        <v>Tarta Frutos Secos</v>
      </c>
      <c r="D210" s="13" t="s">
        <v>410</v>
      </c>
      <c r="E210" s="13" t="str">
        <f>IFERROR(VLOOKUP($D210,Insumos!$B:$U,D$1,0),"")</f>
        <v>Unidad</v>
      </c>
      <c r="F210" s="70">
        <v>1.0</v>
      </c>
      <c r="G210" s="70">
        <f>IFERROR(VLOOKUP($D210,Insumos!$B:$U,G$1,0)/VLOOKUP($D210,Insumos!$B:$U,F$1,0),"")</f>
        <v>6.25</v>
      </c>
      <c r="H210" s="70">
        <f t="shared" si="66"/>
        <v>6.25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81">
        <f t="shared" si="105"/>
        <v>20</v>
      </c>
      <c r="C211" s="81" t="str">
        <f t="shared" si="106"/>
        <v>Tarta Frutos Secos</v>
      </c>
      <c r="D211" s="81" t="s">
        <v>466</v>
      </c>
      <c r="E211" s="81" t="str">
        <f>IFERROR(VLOOKUP($D211,Insumos!$B:$U,D$1,0),"")</f>
        <v>Grs</v>
      </c>
      <c r="F211" s="82">
        <v>100.0</v>
      </c>
      <c r="G211" s="82">
        <f>IFERROR(VLOOKUP($D211,Insumos!$B:$U,G$1,0)/VLOOKUP($D211,Insumos!$B:$U,F$1,0),"")</f>
        <v>3.4</v>
      </c>
      <c r="H211" s="82">
        <f t="shared" si="66"/>
        <v>340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3">
        <v>21.0</v>
      </c>
      <c r="C212" s="13" t="s">
        <v>583</v>
      </c>
      <c r="D212" s="13" t="s">
        <v>489</v>
      </c>
      <c r="E212" s="13" t="str">
        <f>IFERROR(VLOOKUP($D212,Insumos!$B:$U,D$1,0),"")</f>
        <v>Grs</v>
      </c>
      <c r="F212" s="70">
        <v>400.0</v>
      </c>
      <c r="G212" s="70">
        <f>IFERROR(VLOOKUP($D212,Insumos!$B:$U,G$1,0)/VLOOKUP($D212,Insumos!$B:$U,F$1,0),"")</f>
        <v>0.82</v>
      </c>
      <c r="H212" s="70">
        <f t="shared" si="66"/>
        <v>328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3">
        <f t="shared" ref="B213:C213" si="107">IF($D213="","",B212)</f>
        <v>21</v>
      </c>
      <c r="C213" s="13" t="str">
        <f t="shared" si="107"/>
        <v>Alfajor Marplatense</v>
      </c>
      <c r="D213" s="13" t="s">
        <v>501</v>
      </c>
      <c r="E213" s="13" t="str">
        <f>IFERROR(VLOOKUP($D213,Insumos!$B:$U,D$1,0),"")</f>
        <v>Grs</v>
      </c>
      <c r="F213" s="70">
        <v>100.0</v>
      </c>
      <c r="G213" s="70">
        <f>IFERROR(VLOOKUP($D213,Insumos!$B:$U,G$1,0)/VLOOKUP($D213,Insumos!$B:$U,F$1,0),"")</f>
        <v>2.8</v>
      </c>
      <c r="H213" s="70">
        <f t="shared" si="66"/>
        <v>280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3">
        <f t="shared" ref="B214:C214" si="108">IF($D214="","",B213)</f>
        <v>21</v>
      </c>
      <c r="C214" s="13" t="str">
        <f t="shared" si="108"/>
        <v>Alfajor Marplatense</v>
      </c>
      <c r="D214" s="13" t="s">
        <v>422</v>
      </c>
      <c r="E214" s="13" t="str">
        <f>IFERROR(VLOOKUP($D214,Insumos!$B:$U,D$1,0),"")</f>
        <v>Grs</v>
      </c>
      <c r="F214" s="70">
        <v>30.0</v>
      </c>
      <c r="G214" s="70">
        <f>IFERROR(VLOOKUP($D214,Insumos!$B:$U,G$1,0)/VLOOKUP($D214,Insumos!$B:$U,F$1,0),"")</f>
        <v>36.11111111</v>
      </c>
      <c r="H214" s="70">
        <f t="shared" si="66"/>
        <v>1083.333333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3">
        <f t="shared" ref="B215:C215" si="109">IF($D215="","",B214)</f>
        <v>21</v>
      </c>
      <c r="C215" s="13" t="str">
        <f t="shared" si="109"/>
        <v>Alfajor Marplatense</v>
      </c>
      <c r="D215" s="13" t="s">
        <v>528</v>
      </c>
      <c r="E215" s="13" t="str">
        <f>IFERROR(VLOOKUP($D215,Insumos!$B:$U,D$1,0),"")</f>
        <v>Grs</v>
      </c>
      <c r="F215" s="70">
        <v>3.0</v>
      </c>
      <c r="G215" s="70">
        <f>IFERROR(VLOOKUP($D215,Insumos!$B:$U,G$1,0)/VLOOKUP($D215,Insumos!$B:$U,F$1,0),"")</f>
        <v>8</v>
      </c>
      <c r="H215" s="70">
        <f t="shared" si="66"/>
        <v>24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3">
        <f t="shared" ref="B216:C216" si="110">IF($D216="","",B215)</f>
        <v>21</v>
      </c>
      <c r="C216" s="13" t="str">
        <f t="shared" si="110"/>
        <v>Alfajor Marplatense</v>
      </c>
      <c r="D216" s="13" t="s">
        <v>408</v>
      </c>
      <c r="E216" s="13" t="str">
        <f>IFERROR(VLOOKUP($D216,Insumos!$B:$U,D$1,0),"")</f>
        <v>Grs</v>
      </c>
      <c r="F216" s="70">
        <v>3.0</v>
      </c>
      <c r="G216" s="70">
        <f>IFERROR(VLOOKUP($D216,Insumos!$B:$U,G$1,0)/VLOOKUP($D216,Insumos!$B:$U,F$1,0),"")</f>
        <v>16.64</v>
      </c>
      <c r="H216" s="70">
        <f t="shared" si="66"/>
        <v>49.92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3">
        <f t="shared" ref="B217:C217" si="111">IF($D217="","",B216)</f>
        <v>21</v>
      </c>
      <c r="C217" s="13" t="str">
        <f t="shared" si="111"/>
        <v>Alfajor Marplatense</v>
      </c>
      <c r="D217" s="13" t="s">
        <v>505</v>
      </c>
      <c r="E217" s="13" t="str">
        <f>IFERROR(VLOOKUP($D217,Insumos!$B:$U,D$1,0),"")</f>
        <v>Grs</v>
      </c>
      <c r="F217" s="70">
        <v>200.0</v>
      </c>
      <c r="G217" s="70">
        <f>IFERROR(VLOOKUP($D217,Insumos!$B:$U,G$1,0)/VLOOKUP($D217,Insumos!$B:$U,F$1,0),"")</f>
        <v>11</v>
      </c>
      <c r="H217" s="70">
        <f t="shared" si="66"/>
        <v>2200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3">
        <f t="shared" ref="B218:C218" si="112">IF($D218="","",B217)</f>
        <v>21</v>
      </c>
      <c r="C218" s="13" t="str">
        <f t="shared" si="112"/>
        <v>Alfajor Marplatense</v>
      </c>
      <c r="D218" s="13" t="s">
        <v>573</v>
      </c>
      <c r="E218" s="13" t="str">
        <f>IFERROR(VLOOKUP($D218,Insumos!$B:$U,D$1,0),"")</f>
        <v>Grs</v>
      </c>
      <c r="F218" s="70">
        <v>150.0</v>
      </c>
      <c r="G218" s="70">
        <f>IFERROR(VLOOKUP($D218,Insumos!$B:$U,G$1,0)/VLOOKUP($D218,Insumos!$B:$U,F$1,0),"")</f>
        <v>1.4</v>
      </c>
      <c r="H218" s="70">
        <f t="shared" si="66"/>
        <v>210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3">
        <f t="shared" ref="B219:C219" si="113">IF($D219="","",B218)</f>
        <v>21</v>
      </c>
      <c r="C219" s="13" t="str">
        <f t="shared" si="113"/>
        <v>Alfajor Marplatense</v>
      </c>
      <c r="D219" s="13" t="s">
        <v>513</v>
      </c>
      <c r="E219" s="13" t="str">
        <f>IFERROR(VLOOKUP($D219,Insumos!$B:$U,D$1,0),"")</f>
        <v>Cm3</v>
      </c>
      <c r="F219" s="70">
        <v>50.0</v>
      </c>
      <c r="G219" s="70">
        <f>IFERROR(VLOOKUP($D219,Insumos!$B:$U,G$1,0)/VLOOKUP($D219,Insumos!$B:$U,F$1,0),"")</f>
        <v>4.5</v>
      </c>
      <c r="H219" s="70">
        <f t="shared" si="66"/>
        <v>225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3">
        <f t="shared" ref="B220:C220" si="114">IF($D220="","",B219)</f>
        <v>21</v>
      </c>
      <c r="C220" s="13" t="str">
        <f t="shared" si="114"/>
        <v>Alfajor Marplatense</v>
      </c>
      <c r="D220" s="13" t="s">
        <v>569</v>
      </c>
      <c r="E220" s="13" t="str">
        <f>IFERROR(VLOOKUP($D220,Insumos!$B:$U,D$1,0),"")</f>
        <v>Unidad</v>
      </c>
      <c r="F220" s="70">
        <v>2.0</v>
      </c>
      <c r="G220" s="70">
        <f>IFERROR(VLOOKUP($D220,Insumos!$B:$U,G$1,0)/VLOOKUP($D220,Insumos!$B:$U,F$1,0),"")</f>
        <v>166.6666667</v>
      </c>
      <c r="H220" s="70">
        <f t="shared" si="66"/>
        <v>333.3333333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3">
        <f t="shared" ref="B221:C221" si="115">IF($D221="","",B220)</f>
        <v>21</v>
      </c>
      <c r="C221" s="13" t="str">
        <f t="shared" si="115"/>
        <v>Alfajor Marplatense</v>
      </c>
      <c r="D221" s="13" t="s">
        <v>468</v>
      </c>
      <c r="E221" s="13" t="str">
        <f>IFERROR(VLOOKUP($D221,Insumos!$B:$U,D$1,0),"")</f>
        <v>Cm3</v>
      </c>
      <c r="F221" s="70">
        <v>10.0</v>
      </c>
      <c r="G221" s="70">
        <f>IFERROR(VLOOKUP($D221,Insumos!$B:$U,G$1,0)/VLOOKUP($D221,Insumos!$B:$U,F$1,0),"")</f>
        <v>1.52</v>
      </c>
      <c r="H221" s="70">
        <f t="shared" si="66"/>
        <v>15.2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3">
        <f t="shared" ref="B222:C222" si="116">IF($D222="","",B221)</f>
        <v>21</v>
      </c>
      <c r="C222" s="13" t="str">
        <f t="shared" si="116"/>
        <v>Alfajor Marplatense</v>
      </c>
      <c r="D222" s="13" t="s">
        <v>466</v>
      </c>
      <c r="E222" s="13" t="str">
        <f>IFERROR(VLOOKUP($D222,Insumos!$B:$U,D$1,0),"")</f>
        <v>Grs</v>
      </c>
      <c r="F222" s="70">
        <v>400.0</v>
      </c>
      <c r="G222" s="70">
        <f>IFERROR(VLOOKUP($D222,Insumos!$B:$U,G$1,0)/VLOOKUP($D222,Insumos!$B:$U,F$1,0),"")</f>
        <v>3.4</v>
      </c>
      <c r="H222" s="70">
        <f t="shared" si="66"/>
        <v>1360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3">
        <f t="shared" ref="B223:C223" si="117">IF($D223="","",B222)</f>
        <v>21</v>
      </c>
      <c r="C223" s="13" t="str">
        <f t="shared" si="117"/>
        <v>Alfajor Marplatense</v>
      </c>
      <c r="D223" s="13" t="s">
        <v>584</v>
      </c>
      <c r="E223" s="13" t="str">
        <f>IFERROR(VLOOKUP($D223,Insumos!$B:$U,D$1,0),"")</f>
        <v>Grs</v>
      </c>
      <c r="F223" s="70">
        <v>300.0</v>
      </c>
      <c r="G223" s="70">
        <f>IFERROR(VLOOKUP($D223,Insumos!$B:$U,G$1,0)/VLOOKUP($D223,Insumos!$B:$U,F$1,0),"")</f>
        <v>10</v>
      </c>
      <c r="H223" s="70">
        <f t="shared" si="66"/>
        <v>3000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3">
        <f t="shared" ref="B224:C224" si="118">IF($D224="","",B223)</f>
        <v>21</v>
      </c>
      <c r="C224" s="13" t="str">
        <f t="shared" si="118"/>
        <v>Alfajor Marplatense</v>
      </c>
      <c r="D224" s="13" t="s">
        <v>402</v>
      </c>
      <c r="E224" s="13" t="str">
        <f>IFERROR(VLOOKUP($D224,Insumos!$B:$U,D$1,0),"")</f>
        <v>Unidad</v>
      </c>
      <c r="F224" s="70">
        <v>1.0</v>
      </c>
      <c r="G224" s="70">
        <f>IFERROR(VLOOKUP($D224,Insumos!$B:$U,G$1,0)/VLOOKUP($D224,Insumos!$B:$U,F$1,0),"")</f>
        <v>5</v>
      </c>
      <c r="H224" s="70">
        <f t="shared" si="66"/>
        <v>5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81">
        <f t="shared" ref="B225:C225" si="119">IF($D225="","",B224)</f>
        <v>21</v>
      </c>
      <c r="C225" s="81" t="str">
        <f t="shared" si="119"/>
        <v>Alfajor Marplatense</v>
      </c>
      <c r="D225" s="81" t="s">
        <v>411</v>
      </c>
      <c r="E225" s="81" t="str">
        <f>IFERROR(VLOOKUP($D225,Insumos!$B:$U,D$1,0),"")</f>
        <v>Unidad</v>
      </c>
      <c r="F225" s="82">
        <v>1.0</v>
      </c>
      <c r="G225" s="82">
        <f>IFERROR(VLOOKUP($D225,Insumos!$B:$U,G$1,0)/VLOOKUP($D225,Insumos!$B:$U,F$1,0),"")</f>
        <v>7.94</v>
      </c>
      <c r="H225" s="82">
        <f t="shared" si="66"/>
        <v>7.94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3">
        <v>22.0</v>
      </c>
      <c r="C226" s="13" t="s">
        <v>585</v>
      </c>
      <c r="D226" s="13" t="s">
        <v>505</v>
      </c>
      <c r="E226" s="13" t="str">
        <f>IFERROR(VLOOKUP($D226,Insumos!$B:$U,D$1,0),"")</f>
        <v>Grs</v>
      </c>
      <c r="F226" s="70">
        <v>50.0</v>
      </c>
      <c r="G226" s="70">
        <f>IFERROR(VLOOKUP($D226,Insumos!$B:$U,G$1,0)/VLOOKUP($D226,Insumos!$B:$U,F$1,0),"")</f>
        <v>11</v>
      </c>
      <c r="H226" s="70">
        <f t="shared" si="66"/>
        <v>550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3">
        <f t="shared" ref="B227:C227" si="120">IF($D227="","",B226)</f>
        <v>22</v>
      </c>
      <c r="C227" s="13" t="str">
        <f t="shared" si="120"/>
        <v>Alfajor Maicena</v>
      </c>
      <c r="D227" s="13" t="s">
        <v>397</v>
      </c>
      <c r="E227" s="13" t="str">
        <f>IFERROR(VLOOKUP($D227,Insumos!$B:$U,D$1,0),"")</f>
        <v>Grs</v>
      </c>
      <c r="F227" s="70">
        <v>50.0</v>
      </c>
      <c r="G227" s="70">
        <f>IFERROR(VLOOKUP($D227,Insumos!$B:$U,G$1,0)/VLOOKUP($D227,Insumos!$B:$U,F$1,0),"")</f>
        <v>1.5</v>
      </c>
      <c r="H227" s="70">
        <f t="shared" si="66"/>
        <v>75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3">
        <f t="shared" ref="B228:C228" si="121">IF($D228="","",B227)</f>
        <v>22</v>
      </c>
      <c r="C228" s="13" t="str">
        <f t="shared" si="121"/>
        <v>Alfajor Maicena</v>
      </c>
      <c r="D228" s="13" t="s">
        <v>569</v>
      </c>
      <c r="E228" s="13" t="str">
        <f>IFERROR(VLOOKUP($D228,Insumos!$B:$U,D$1,0),"")</f>
        <v>Unidad</v>
      </c>
      <c r="F228" s="70">
        <v>4.0</v>
      </c>
      <c r="G228" s="70">
        <f>IFERROR(VLOOKUP($D228,Insumos!$B:$U,G$1,0)/VLOOKUP($D228,Insumos!$B:$U,F$1,0),"")</f>
        <v>166.6666667</v>
      </c>
      <c r="H228" s="70">
        <f t="shared" si="66"/>
        <v>666.6666667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3">
        <f t="shared" ref="B229:C229" si="122">IF($D229="","",B228)</f>
        <v>22</v>
      </c>
      <c r="C229" s="13" t="str">
        <f t="shared" si="122"/>
        <v>Alfajor Maicena</v>
      </c>
      <c r="D229" s="13" t="s">
        <v>408</v>
      </c>
      <c r="E229" s="13" t="str">
        <f>IFERROR(VLOOKUP($D229,Insumos!$B:$U,D$1,0),"")</f>
        <v>Grs</v>
      </c>
      <c r="F229" s="70">
        <v>2.0</v>
      </c>
      <c r="G229" s="70">
        <f>IFERROR(VLOOKUP($D229,Insumos!$B:$U,G$1,0)/VLOOKUP($D229,Insumos!$B:$U,F$1,0),"")</f>
        <v>16.64</v>
      </c>
      <c r="H229" s="70">
        <f t="shared" si="66"/>
        <v>33.28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3">
        <f t="shared" ref="B230:C230" si="123">IF($D230="","",B229)</f>
        <v>22</v>
      </c>
      <c r="C230" s="13" t="str">
        <f t="shared" si="123"/>
        <v>Alfajor Maicena</v>
      </c>
      <c r="D230" s="13" t="s">
        <v>501</v>
      </c>
      <c r="E230" s="13" t="str">
        <f>IFERROR(VLOOKUP($D230,Insumos!$B:$U,D$1,0),"")</f>
        <v>Grs</v>
      </c>
      <c r="F230" s="70">
        <v>150.0</v>
      </c>
      <c r="G230" s="70">
        <f>IFERROR(VLOOKUP($D230,Insumos!$B:$U,G$1,0)/VLOOKUP($D230,Insumos!$B:$U,F$1,0),"")</f>
        <v>2.8</v>
      </c>
      <c r="H230" s="70">
        <f t="shared" si="66"/>
        <v>420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3">
        <f t="shared" ref="B231:C231" si="124">IF($D231="","",B230)</f>
        <v>22</v>
      </c>
      <c r="C231" s="13" t="str">
        <f t="shared" si="124"/>
        <v>Alfajor Maicena</v>
      </c>
      <c r="D231" s="13" t="s">
        <v>586</v>
      </c>
      <c r="E231" s="13" t="str">
        <f>IFERROR(VLOOKUP($D231,Insumos!$B:$U,D$1,0),"")</f>
        <v>Grs</v>
      </c>
      <c r="F231" s="70">
        <v>50.0</v>
      </c>
      <c r="G231" s="70">
        <f>IFERROR(VLOOKUP($D231,Insumos!$B:$U,G$1,0)/VLOOKUP($D231,Insumos!$B:$U,F$1,0),"")</f>
        <v>1.5</v>
      </c>
      <c r="H231" s="70">
        <f t="shared" si="66"/>
        <v>75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3">
        <f t="shared" ref="B232:C232" si="125">IF($D232="","",B231)</f>
        <v>22</v>
      </c>
      <c r="C232" s="13" t="str">
        <f t="shared" si="125"/>
        <v>Alfajor Maicena</v>
      </c>
      <c r="D232" s="13" t="s">
        <v>500</v>
      </c>
      <c r="E232" s="13" t="str">
        <f>IFERROR(VLOOKUP($D232,Insumos!$B:$U,D$1,0),"")</f>
        <v>Unidad</v>
      </c>
      <c r="F232" s="70">
        <v>0.5</v>
      </c>
      <c r="G232" s="70">
        <f>IFERROR(VLOOKUP($D232,Insumos!$B:$U,G$1,0)/VLOOKUP($D232,Insumos!$B:$U,F$1,0),"")</f>
        <v>180</v>
      </c>
      <c r="H232" s="70">
        <f t="shared" si="66"/>
        <v>90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3">
        <f t="shared" ref="B233:C233" si="126">IF($D233="","",B232)</f>
        <v>22</v>
      </c>
      <c r="C233" s="13" t="str">
        <f t="shared" si="126"/>
        <v>Alfajor Maicena</v>
      </c>
      <c r="D233" s="13" t="s">
        <v>457</v>
      </c>
      <c r="E233" s="13" t="s">
        <v>392</v>
      </c>
      <c r="F233" s="70">
        <v>50.0</v>
      </c>
      <c r="G233" s="70">
        <f>IFERROR(VLOOKUP($D233,Insumos!$B:$U,G$1,0)/VLOOKUP($D233,Insumos!$B:$U,F$1,0),"")</f>
        <v>10.5</v>
      </c>
      <c r="H233" s="70">
        <f t="shared" si="66"/>
        <v>525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3">
        <f t="shared" ref="B234:C234" si="127">IF($D234="","",B233)</f>
        <v>22</v>
      </c>
      <c r="C234" s="13" t="str">
        <f t="shared" si="127"/>
        <v>Alfajor Maicena</v>
      </c>
      <c r="D234" s="13" t="s">
        <v>466</v>
      </c>
      <c r="E234" s="13" t="str">
        <f>IFERROR(VLOOKUP($D234,Insumos!$B:$U,D$1,0),"")</f>
        <v>Grs</v>
      </c>
      <c r="F234" s="70">
        <v>200.0</v>
      </c>
      <c r="G234" s="70">
        <f>IFERROR(VLOOKUP($D234,Insumos!$B:$U,G$1,0)/VLOOKUP($D234,Insumos!$B:$U,F$1,0),"")</f>
        <v>3.4</v>
      </c>
      <c r="H234" s="70">
        <f t="shared" si="66"/>
        <v>680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3">
        <f t="shared" ref="B235:C235" si="128">IF($D235="","",B234)</f>
        <v>22</v>
      </c>
      <c r="C235" s="13" t="str">
        <f t="shared" si="128"/>
        <v>Alfajor Maicena</v>
      </c>
      <c r="D235" s="13" t="s">
        <v>440</v>
      </c>
      <c r="E235" s="13" t="str">
        <f>IFERROR(VLOOKUP($D235,Insumos!$B:$U,D$1,0),"")</f>
        <v>Unidad</v>
      </c>
      <c r="F235" s="70">
        <v>1.0</v>
      </c>
      <c r="G235" s="70">
        <f>IFERROR(VLOOKUP($D235,Insumos!$B:$U,G$1,0)/VLOOKUP($D235,Insumos!$B:$U,F$1,0),"")</f>
        <v>2500</v>
      </c>
      <c r="H235" s="70">
        <f t="shared" si="66"/>
        <v>2500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81">
        <f t="shared" ref="B236:C236" si="129">IF($D236="","",B235)</f>
        <v>22</v>
      </c>
      <c r="C236" s="81" t="str">
        <f t="shared" si="129"/>
        <v>Alfajor Maicena</v>
      </c>
      <c r="D236" s="81" t="s">
        <v>410</v>
      </c>
      <c r="E236" s="81" t="str">
        <f>IFERROR(VLOOKUP($D236,Insumos!$B:$U,D$1,0),"")</f>
        <v>Unidad</v>
      </c>
      <c r="F236" s="82">
        <v>1.0</v>
      </c>
      <c r="G236" s="82">
        <f>IFERROR(VLOOKUP($D236,Insumos!$B:$U,G$1,0)/VLOOKUP($D236,Insumos!$B:$U,F$1,0),"")</f>
        <v>6.25</v>
      </c>
      <c r="H236" s="82">
        <f t="shared" si="66"/>
        <v>6.25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3">
        <v>23.0</v>
      </c>
      <c r="C237" s="75" t="s">
        <v>377</v>
      </c>
      <c r="D237" s="13" t="s">
        <v>489</v>
      </c>
      <c r="E237" s="13" t="str">
        <f>IFERROR(VLOOKUP($D237,Insumos!$B:$U,D$1,0),"")</f>
        <v>Grs</v>
      </c>
      <c r="F237" s="70">
        <v>250.0</v>
      </c>
      <c r="G237" s="70">
        <f>IFERROR(VLOOKUP($D237,Insumos!$B:$U,G$1,0)/VLOOKUP($D237,Insumos!$B:$U,F$1,0),"")</f>
        <v>0.82</v>
      </c>
      <c r="H237" s="70">
        <f t="shared" si="66"/>
        <v>205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3">
        <f t="shared" ref="B238:C238" si="130">IF($D238="","",B237)</f>
        <v>23</v>
      </c>
      <c r="C238" s="75" t="str">
        <f t="shared" si="130"/>
        <v>Tarta de Manzana 22cm</v>
      </c>
      <c r="D238" s="13" t="s">
        <v>505</v>
      </c>
      <c r="E238" s="13" t="str">
        <f>IFERROR(VLOOKUP($D238,Insumos!$B:$U,D$1,0),"")</f>
        <v>Grs</v>
      </c>
      <c r="F238" s="70">
        <v>200.0</v>
      </c>
      <c r="G238" s="70">
        <f>IFERROR(VLOOKUP($D238,Insumos!$B:$U,G$1,0)/VLOOKUP($D238,Insumos!$B:$U,F$1,0),"")</f>
        <v>11</v>
      </c>
      <c r="H238" s="70">
        <f t="shared" si="66"/>
        <v>2200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3">
        <f t="shared" ref="B239:C239" si="131">IF($D239="","",B238)</f>
        <v>23</v>
      </c>
      <c r="C239" s="75" t="str">
        <f t="shared" si="131"/>
        <v>Tarta de Manzana 22cm</v>
      </c>
      <c r="D239" s="13" t="s">
        <v>395</v>
      </c>
      <c r="E239" s="13" t="str">
        <f>IFERROR(VLOOKUP($D239,Insumos!$B:$U,D$1,0),"")</f>
        <v>Grs</v>
      </c>
      <c r="F239" s="70">
        <v>220.0</v>
      </c>
      <c r="G239" s="70">
        <f>IFERROR(VLOOKUP($D239,Insumos!$B:$U,G$1,0)/VLOOKUP($D239,Insumos!$B:$U,F$1,0),"")</f>
        <v>1.4</v>
      </c>
      <c r="H239" s="70">
        <f t="shared" si="66"/>
        <v>308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3">
        <f t="shared" ref="B240:C240" si="132">IF($D240="","",B239)</f>
        <v>23</v>
      </c>
      <c r="C240" s="75" t="str">
        <f t="shared" si="132"/>
        <v>Tarta de Manzana 22cm</v>
      </c>
      <c r="D240" s="13" t="s">
        <v>569</v>
      </c>
      <c r="E240" s="13" t="str">
        <f>IFERROR(VLOOKUP($D240,Insumos!$B:$U,D$1,0),"")</f>
        <v>Unidad</v>
      </c>
      <c r="F240" s="70">
        <v>1.0</v>
      </c>
      <c r="G240" s="70">
        <f>IFERROR(VLOOKUP($D240,Insumos!$B:$U,G$1,0)/VLOOKUP($D240,Insumos!$B:$U,F$1,0),"")</f>
        <v>166.6666667</v>
      </c>
      <c r="H240" s="70">
        <f t="shared" si="66"/>
        <v>166.6666667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3">
        <f t="shared" ref="B241:C241" si="133">IF($D241="","",B240)</f>
        <v>23</v>
      </c>
      <c r="C241" s="75" t="str">
        <f t="shared" si="133"/>
        <v>Tarta de Manzana 22cm</v>
      </c>
      <c r="D241" s="13" t="s">
        <v>468</v>
      </c>
      <c r="E241" s="13" t="str">
        <f>IFERROR(VLOOKUP($D241,Insumos!$B:$U,D$1,0),"")</f>
        <v>Cm3</v>
      </c>
      <c r="F241" s="70">
        <v>10.0</v>
      </c>
      <c r="G241" s="70">
        <f>IFERROR(VLOOKUP($D241,Insumos!$B:$U,G$1,0)/VLOOKUP($D241,Insumos!$B:$U,F$1,0),"")</f>
        <v>1.52</v>
      </c>
      <c r="H241" s="70">
        <f t="shared" si="66"/>
        <v>15.2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3">
        <f t="shared" ref="B242:C242" si="134">IF($D242="","",B241)</f>
        <v>23</v>
      </c>
      <c r="C242" s="75" t="str">
        <f t="shared" si="134"/>
        <v>Tarta de Manzana 22cm</v>
      </c>
      <c r="D242" s="13" t="s">
        <v>500</v>
      </c>
      <c r="E242" s="13" t="str">
        <f>IFERROR(VLOOKUP($D242,Insumos!$B:$U,D$1,0),"")</f>
        <v>Unidad</v>
      </c>
      <c r="F242" s="70">
        <v>1.0</v>
      </c>
      <c r="G242" s="70">
        <f>IFERROR(VLOOKUP($D242,Insumos!$B:$U,G$1,0)/VLOOKUP($D242,Insumos!$B:$U,F$1,0),"")</f>
        <v>180</v>
      </c>
      <c r="H242" s="70">
        <f t="shared" si="66"/>
        <v>180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3">
        <f t="shared" ref="B243:C243" si="135">IF($D243="","",B242)</f>
        <v>23</v>
      </c>
      <c r="C243" s="75" t="str">
        <f t="shared" si="135"/>
        <v>Tarta de Manzana 22cm</v>
      </c>
      <c r="D243" s="13" t="s">
        <v>506</v>
      </c>
      <c r="E243" s="13" t="str">
        <f>IFERROR(VLOOKUP($D243,Insumos!$B:$U,D$1,0),"")</f>
        <v>Grs</v>
      </c>
      <c r="F243" s="70">
        <v>500.0</v>
      </c>
      <c r="G243" s="70">
        <f>IFERROR(VLOOKUP($D243,Insumos!$B:$U,G$1,0)/VLOOKUP($D243,Insumos!$B:$U,F$1,0),"")</f>
        <v>0.8</v>
      </c>
      <c r="H243" s="70">
        <f t="shared" si="66"/>
        <v>400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3">
        <f t="shared" ref="B244:C244" si="136">IF($D244="","",B243)</f>
        <v>23</v>
      </c>
      <c r="C244" s="75" t="str">
        <f t="shared" si="136"/>
        <v>Tarta de Manzana 22cm</v>
      </c>
      <c r="D244" s="13" t="s">
        <v>516</v>
      </c>
      <c r="E244" s="13" t="str">
        <f>IFERROR(VLOOKUP($D244,Insumos!$B:$U,D$1,0),"")</f>
        <v>Grs</v>
      </c>
      <c r="F244" s="70">
        <v>50.0</v>
      </c>
      <c r="G244" s="70">
        <f>IFERROR(VLOOKUP($D244,Insumos!$B:$U,G$1,0)/VLOOKUP($D244,Insumos!$B:$U,F$1,0),"")</f>
        <v>19</v>
      </c>
      <c r="H244" s="70">
        <f t="shared" si="66"/>
        <v>950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3">
        <f t="shared" ref="B245:C245" si="137">IF($D245="","",B244)</f>
        <v>23</v>
      </c>
      <c r="C245" s="75" t="str">
        <f t="shared" si="137"/>
        <v>Tarta de Manzana 22cm</v>
      </c>
      <c r="D245" s="13" t="s">
        <v>404</v>
      </c>
      <c r="E245" s="13" t="str">
        <f>IFERROR(VLOOKUP($D245,Insumos!$B:$U,D$1,0),"")</f>
        <v>Unidad</v>
      </c>
      <c r="F245" s="70">
        <v>1.0</v>
      </c>
      <c r="G245" s="70">
        <f>IFERROR(VLOOKUP($D245,Insumos!$B:$U,G$1,0)/VLOOKUP($D245,Insumos!$B:$U,F$1,0),"")</f>
        <v>1300</v>
      </c>
      <c r="H245" s="70">
        <f t="shared" si="66"/>
        <v>1300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3">
        <f t="shared" ref="B246:C246" si="138">IF($D246="","",B245)</f>
        <v>23</v>
      </c>
      <c r="C246" s="75" t="str">
        <f t="shared" si="138"/>
        <v>Tarta de Manzana 22cm</v>
      </c>
      <c r="D246" s="13" t="s">
        <v>410</v>
      </c>
      <c r="E246" s="13" t="str">
        <f>IFERROR(VLOOKUP($D246,Insumos!$B:$U,D$1,0),"")</f>
        <v>Unidad</v>
      </c>
      <c r="F246" s="70">
        <v>1.0</v>
      </c>
      <c r="G246" s="70">
        <f>IFERROR(VLOOKUP($D246,Insumos!$B:$U,G$1,0)/VLOOKUP($D246,Insumos!$B:$U,F$1,0),"")</f>
        <v>6.25</v>
      </c>
      <c r="H246" s="70">
        <f t="shared" si="66"/>
        <v>6.25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81">
        <f t="shared" ref="B247:C247" si="139">IF($D247="","",B246)</f>
        <v>23</v>
      </c>
      <c r="C247" s="102" t="str">
        <f t="shared" si="139"/>
        <v>Tarta de Manzana 22cm</v>
      </c>
      <c r="D247" s="13" t="s">
        <v>426</v>
      </c>
      <c r="E247" s="81" t="str">
        <f>IFERROR(VLOOKUP($D247,Insumos!$B:$U,D$1,0),"")</f>
        <v>Unidad</v>
      </c>
      <c r="F247" s="82">
        <v>1.0</v>
      </c>
      <c r="G247" s="82">
        <f>IFERROR(VLOOKUP($D247,Insumos!$B:$U,G$1,0)/VLOOKUP($D247,Insumos!$B:$U,F$1,0),"")</f>
        <v>975</v>
      </c>
      <c r="H247" s="82">
        <f t="shared" si="66"/>
        <v>975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3">
        <v>24.0</v>
      </c>
      <c r="C248" s="13" t="s">
        <v>587</v>
      </c>
      <c r="D248" s="13" t="s">
        <v>455</v>
      </c>
      <c r="E248" s="13" t="str">
        <f>IFERROR(VLOOKUP($D248,Insumos!$B:$U,D$1,0),"")</f>
        <v>Grs</v>
      </c>
      <c r="F248" s="70">
        <v>500.0</v>
      </c>
      <c r="G248" s="70">
        <f>IFERROR(VLOOKUP($D248,Insumos!$B:$U,G$1,0)/VLOOKUP($D248,Insumos!$B:$U,F$1,0),"")</f>
        <v>7.6</v>
      </c>
      <c r="H248" s="70">
        <f t="shared" si="66"/>
        <v>3800</v>
      </c>
      <c r="I248" s="2" t="s">
        <v>588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3">
        <f t="shared" ref="B249:C249" si="140">IF($D249="","",B248)</f>
        <v>24</v>
      </c>
      <c r="C249" s="13" t="str">
        <f t="shared" si="140"/>
        <v>Chocotorta Redonda </v>
      </c>
      <c r="D249" s="13" t="s">
        <v>466</v>
      </c>
      <c r="E249" s="13" t="str">
        <f>IFERROR(VLOOKUP($D249,Insumos!$B:$U,D$1,0),"")</f>
        <v>Grs</v>
      </c>
      <c r="F249" s="70">
        <v>500.0</v>
      </c>
      <c r="G249" s="70">
        <f>IFERROR(VLOOKUP($D249,Insumos!$B:$U,G$1,0)/VLOOKUP($D249,Insumos!$B:$U,F$1,0),"")</f>
        <v>3.4</v>
      </c>
      <c r="H249" s="70">
        <f t="shared" si="66"/>
        <v>1700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3">
        <f t="shared" ref="B250:C250" si="141">IF($D250="","",B249)</f>
        <v>24</v>
      </c>
      <c r="C250" s="13" t="str">
        <f t="shared" si="141"/>
        <v>Chocotorta Redonda </v>
      </c>
      <c r="D250" s="13" t="s">
        <v>533</v>
      </c>
      <c r="E250" s="13" t="str">
        <f>IFERROR(VLOOKUP($D250,Insumos!$B:$U,D$1,0),"")</f>
        <v>Grs</v>
      </c>
      <c r="F250" s="70">
        <v>250.0</v>
      </c>
      <c r="G250" s="70">
        <f>IFERROR(VLOOKUP($D250,Insumos!$B:$U,G$1,0)/VLOOKUP($D250,Insumos!$B:$U,F$1,0),"")</f>
        <v>7.428571429</v>
      </c>
      <c r="H250" s="70">
        <f t="shared" si="66"/>
        <v>1857.142857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3">
        <f t="shared" ref="B251:C251" si="142">IF($D251="","",B250)</f>
        <v>24</v>
      </c>
      <c r="C251" s="13" t="str">
        <f t="shared" si="142"/>
        <v>Chocotorta Redonda </v>
      </c>
      <c r="D251" s="13" t="s">
        <v>584</v>
      </c>
      <c r="E251" s="13" t="str">
        <f>IFERROR(VLOOKUP($D251,Insumos!$B:$U,D$1,0),"")</f>
        <v>Grs</v>
      </c>
      <c r="F251" s="70">
        <v>200.0</v>
      </c>
      <c r="G251" s="70">
        <f>IFERROR(VLOOKUP($D251,Insumos!$B:$U,G$1,0)/VLOOKUP($D251,Insumos!$B:$U,F$1,0),"")</f>
        <v>10</v>
      </c>
      <c r="H251" s="70">
        <f t="shared" si="66"/>
        <v>2000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3">
        <f t="shared" ref="B252:C252" si="143">IF($D252="","",B251)</f>
        <v>24</v>
      </c>
      <c r="C252" s="13" t="str">
        <f t="shared" si="143"/>
        <v>Chocotorta Redonda </v>
      </c>
      <c r="D252" s="13" t="s">
        <v>458</v>
      </c>
      <c r="E252" s="13" t="str">
        <f>IFERROR(VLOOKUP($D252,Insumos!$B:$U,D$1,0),"")</f>
        <v>Grs</v>
      </c>
      <c r="F252" s="70">
        <f>2*5</f>
        <v>10</v>
      </c>
      <c r="G252" s="70">
        <f>IFERROR(VLOOKUP($D252,Insumos!$B:$U,G$1,0)/VLOOKUP($D252,Insumos!$B:$U,F$1,0),"")</f>
        <v>120</v>
      </c>
      <c r="H252" s="70">
        <f t="shared" si="66"/>
        <v>1200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3">
        <f t="shared" ref="B253:C253" si="144">IF($D253="","",B252)</f>
        <v>24</v>
      </c>
      <c r="C253" s="13" t="str">
        <f t="shared" si="144"/>
        <v>Chocotorta Redonda </v>
      </c>
      <c r="D253" s="13" t="s">
        <v>440</v>
      </c>
      <c r="E253" s="13" t="str">
        <f>IFERROR(VLOOKUP($D253,Insumos!$B:$U,D$1,0),"")</f>
        <v>Unidad</v>
      </c>
      <c r="F253" s="70">
        <v>1.0</v>
      </c>
      <c r="G253" s="70">
        <f>IFERROR(VLOOKUP($D253,Insumos!$B:$U,G$1,0)/VLOOKUP($D253,Insumos!$B:$U,F$1,0),"")</f>
        <v>2500</v>
      </c>
      <c r="H253" s="70">
        <f t="shared" si="66"/>
        <v>2500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3">
        <f t="shared" ref="B254:C254" si="145">IF($D254="","",B253)</f>
        <v>24</v>
      </c>
      <c r="C254" s="13" t="str">
        <f t="shared" si="145"/>
        <v>Chocotorta Redonda </v>
      </c>
      <c r="D254" s="13" t="s">
        <v>406</v>
      </c>
      <c r="E254" s="13" t="str">
        <f>IFERROR(VLOOKUP($D254,Insumos!$B:$U,D$1,0),"")</f>
        <v>Unidad</v>
      </c>
      <c r="F254" s="70">
        <v>1.0</v>
      </c>
      <c r="G254" s="70">
        <f>IFERROR(VLOOKUP($D254,Insumos!$B:$U,G$1,0)/VLOOKUP($D254,Insumos!$B:$U,F$1,0),"")</f>
        <v>2250</v>
      </c>
      <c r="H254" s="70">
        <f t="shared" si="66"/>
        <v>2250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3">
        <f t="shared" ref="B255:C255" si="146">IF($D255="","",B254)</f>
        <v>24</v>
      </c>
      <c r="C255" s="13" t="str">
        <f t="shared" si="146"/>
        <v>Chocotorta Redonda </v>
      </c>
      <c r="D255" s="13" t="s">
        <v>410</v>
      </c>
      <c r="E255" s="13" t="str">
        <f>IFERROR(VLOOKUP($D255,Insumos!$B:$U,D$1,0),"")</f>
        <v>Unidad</v>
      </c>
      <c r="F255" s="70">
        <v>1.0</v>
      </c>
      <c r="G255" s="70">
        <f>IFERROR(VLOOKUP($D255,Insumos!$B:$U,G$1,0)/VLOOKUP($D255,Insumos!$B:$U,F$1,0),"")</f>
        <v>6.25</v>
      </c>
      <c r="H255" s="70">
        <f t="shared" si="66"/>
        <v>6.25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3">
        <f t="shared" ref="B256:C256" si="147">IF($D256="","",B255)</f>
        <v>24</v>
      </c>
      <c r="C256" s="13" t="str">
        <f t="shared" si="147"/>
        <v>Chocotorta Redonda </v>
      </c>
      <c r="D256" s="13" t="s">
        <v>395</v>
      </c>
      <c r="E256" s="13" t="str">
        <f>IFERROR(VLOOKUP($D256,Insumos!$B:$U,D$1,0),"")</f>
        <v>Grs</v>
      </c>
      <c r="F256" s="70">
        <v>225.0</v>
      </c>
      <c r="G256" s="70">
        <f>IFERROR(VLOOKUP($D256,Insumos!$B:$U,G$1,0)/VLOOKUP($D256,Insumos!$B:$U,F$1,0),"")</f>
        <v>1.4</v>
      </c>
      <c r="H256" s="70">
        <f t="shared" si="66"/>
        <v>315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81">
        <f t="shared" ref="B257:C257" si="148">IF($D257="","",B256)</f>
        <v>24</v>
      </c>
      <c r="C257" s="81" t="str">
        <f t="shared" si="148"/>
        <v>Chocotorta Redonda </v>
      </c>
      <c r="D257" s="81" t="s">
        <v>492</v>
      </c>
      <c r="E257" s="81" t="str">
        <f>IFERROR(VLOOKUP($D257,Insumos!$B:$U,D$1,0),"")</f>
        <v>Unidad</v>
      </c>
      <c r="F257" s="82">
        <v>4.0</v>
      </c>
      <c r="G257" s="82">
        <f>IFERROR(VLOOKUP($D257,Insumos!$B:$U,G$1,0)/VLOOKUP($D257,Insumos!$B:$U,F$1,0),"")</f>
        <v>166.6666667</v>
      </c>
      <c r="H257" s="82">
        <f t="shared" si="66"/>
        <v>666.6666667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3">
        <v>25.0</v>
      </c>
      <c r="C258" s="13" t="s">
        <v>589</v>
      </c>
      <c r="D258" s="13" t="s">
        <v>590</v>
      </c>
      <c r="E258" s="13" t="str">
        <f>IFERROR(VLOOKUP($D258,Insumos!$B:$U,D$1,0),"")</f>
        <v>Grs</v>
      </c>
      <c r="F258" s="70">
        <f>118*4</f>
        <v>472</v>
      </c>
      <c r="G258" s="70">
        <f>IFERROR(VLOOKUP($D258,Insumos!$B:$U,G$1,0)/VLOOKUP($D258,Insumos!$B:$U,F$1,0),"")</f>
        <v>14.52991453</v>
      </c>
      <c r="H258" s="70">
        <f t="shared" si="66"/>
        <v>6858.119658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3">
        <f t="shared" ref="B259:C259" si="149">IF($D259="","",B258)</f>
        <v>25</v>
      </c>
      <c r="C259" s="13" t="str">
        <f t="shared" si="149"/>
        <v>Doble  Cake</v>
      </c>
      <c r="D259" s="13" t="s">
        <v>462</v>
      </c>
      <c r="E259" s="13" t="str">
        <f>IFERROR(VLOOKUP($D259,Insumos!$B:$U,D$1,0),"")</f>
        <v>Grs</v>
      </c>
      <c r="F259" s="70">
        <v>520.0</v>
      </c>
      <c r="G259" s="70">
        <f>IFERROR(VLOOKUP($D259,Insumos!$B:$U,G$1,0)/VLOOKUP($D259,Insumos!$B:$U,F$1,0),"")</f>
        <v>9.2</v>
      </c>
      <c r="H259" s="70">
        <f t="shared" si="66"/>
        <v>4784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3">
        <f t="shared" ref="B260:C260" si="150">IF($D260="","",B259)</f>
        <v>25</v>
      </c>
      <c r="C260" s="13" t="str">
        <f t="shared" si="150"/>
        <v>Doble  Cake</v>
      </c>
      <c r="D260" s="13" t="s">
        <v>466</v>
      </c>
      <c r="E260" s="13" t="str">
        <f>IFERROR(VLOOKUP($D260,Insumos!$B:$U,D$1,0),"")</f>
        <v>Grs</v>
      </c>
      <c r="F260" s="70">
        <v>500.0</v>
      </c>
      <c r="G260" s="70">
        <f>IFERROR(VLOOKUP($D260,Insumos!$B:$U,G$1,0)/VLOOKUP($D260,Insumos!$B:$U,F$1,0),"")</f>
        <v>3.4</v>
      </c>
      <c r="H260" s="70">
        <f t="shared" si="66"/>
        <v>1700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3">
        <f t="shared" ref="B261:C261" si="151">IF($D261="","",B260)</f>
        <v>25</v>
      </c>
      <c r="C261" s="13" t="str">
        <f t="shared" si="151"/>
        <v>Doble  Cake</v>
      </c>
      <c r="D261" s="13" t="s">
        <v>404</v>
      </c>
      <c r="E261" s="13" t="str">
        <f>IFERROR(VLOOKUP($D261,Insumos!$B:$U,D$1,0),"")</f>
        <v>Unidad</v>
      </c>
      <c r="F261" s="70">
        <v>1.0</v>
      </c>
      <c r="G261" s="70">
        <f>IFERROR(VLOOKUP($D261,Insumos!$B:$U,G$1,0)/VLOOKUP($D261,Insumos!$B:$U,F$1,0),"")</f>
        <v>1300</v>
      </c>
      <c r="H261" s="70">
        <f t="shared" si="66"/>
        <v>1300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3">
        <f t="shared" ref="B262:C262" si="152">IF($D262="","",B261)</f>
        <v>25</v>
      </c>
      <c r="C262" s="13" t="str">
        <f t="shared" si="152"/>
        <v>Doble  Cake</v>
      </c>
      <c r="D262" s="13" t="s">
        <v>410</v>
      </c>
      <c r="E262" s="13" t="str">
        <f>IFERROR(VLOOKUP($D262,Insumos!$B:$U,D$1,0),"")</f>
        <v>Unidad</v>
      </c>
      <c r="F262" s="70">
        <v>1.0</v>
      </c>
      <c r="G262" s="70">
        <f>IFERROR(VLOOKUP($D262,Insumos!$B:$U,G$1,0)/VLOOKUP($D262,Insumos!$B:$U,F$1,0),"")</f>
        <v>6.25</v>
      </c>
      <c r="H262" s="70">
        <f t="shared" si="66"/>
        <v>6.25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3">
        <f t="shared" ref="B263:C263" si="153">IF($D263="","",B262)</f>
        <v>25</v>
      </c>
      <c r="C263" s="13" t="str">
        <f t="shared" si="153"/>
        <v>Doble  Cake</v>
      </c>
      <c r="D263" s="13" t="s">
        <v>426</v>
      </c>
      <c r="E263" s="13" t="str">
        <f>IFERROR(VLOOKUP($D263,Insumos!$B:$U,D$1,0),"")</f>
        <v>Unidad</v>
      </c>
      <c r="F263" s="70">
        <v>1.0</v>
      </c>
      <c r="G263" s="70">
        <f>IFERROR(VLOOKUP($D263,Insumos!$B:$U,G$1,0)/VLOOKUP($D263,Insumos!$B:$U,F$1,0),"")</f>
        <v>975</v>
      </c>
      <c r="H263" s="70">
        <f t="shared" si="66"/>
        <v>975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3">
        <f t="shared" ref="B264:C264" si="154">IF($D264="","",B263)</f>
        <v>25</v>
      </c>
      <c r="C264" s="13" t="str">
        <f t="shared" si="154"/>
        <v>Doble  Cake</v>
      </c>
      <c r="D264" s="13" t="s">
        <v>584</v>
      </c>
      <c r="E264" s="13" t="str">
        <f>IFERROR(VLOOKUP($D264,Insumos!$B:$U,D$1,0),"")</f>
        <v>Grs</v>
      </c>
      <c r="F264" s="70">
        <v>200.0</v>
      </c>
      <c r="G264" s="70">
        <f>IFERROR(VLOOKUP($D264,Insumos!$B:$U,G$1,0)/VLOOKUP($D264,Insumos!$B:$U,F$1,0),"")</f>
        <v>10</v>
      </c>
      <c r="H264" s="70">
        <f t="shared" si="66"/>
        <v>2000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3">
        <f t="shared" ref="B265:C265" si="155">IF($D265="","",B264)</f>
        <v>25</v>
      </c>
      <c r="C265" s="13" t="str">
        <f t="shared" si="155"/>
        <v>Doble  Cake</v>
      </c>
      <c r="D265" s="13" t="s">
        <v>459</v>
      </c>
      <c r="E265" s="13" t="str">
        <f>IFERROR(VLOOKUP($D265,Insumos!$B:$U,D$1,0),"")</f>
        <v>Grs</v>
      </c>
      <c r="F265" s="70">
        <v>5.0</v>
      </c>
      <c r="G265" s="70">
        <f>IFERROR(VLOOKUP($D265,Insumos!$B:$U,G$1,0)/VLOOKUP($D265,Insumos!$B:$U,F$1,0),"")</f>
        <v>233.3333333</v>
      </c>
      <c r="H265" s="70">
        <f t="shared" si="66"/>
        <v>1166.666667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3">
        <f t="shared" ref="B266:C266" si="156">IF($D266="","",B265)</f>
        <v>25</v>
      </c>
      <c r="C266" s="13" t="str">
        <f t="shared" si="156"/>
        <v>Doble  Cake</v>
      </c>
      <c r="D266" s="13" t="s">
        <v>568</v>
      </c>
      <c r="E266" s="13" t="str">
        <f>IFERROR(VLOOKUP($D266,Insumos!$B:$U,D$1,0),"")</f>
        <v>Grs</v>
      </c>
      <c r="F266" s="70">
        <v>200.0</v>
      </c>
      <c r="G266" s="70">
        <f>IFERROR(VLOOKUP($D266,Insumos!$B:$U,G$1,0)/VLOOKUP($D266,Insumos!$B:$U,F$1,0),"")</f>
        <v>11</v>
      </c>
      <c r="H266" s="70">
        <f t="shared" si="66"/>
        <v>2200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03">
        <v>26.0</v>
      </c>
      <c r="C267" s="103" t="s">
        <v>591</v>
      </c>
      <c r="D267" s="103" t="s">
        <v>432</v>
      </c>
      <c r="E267" s="103" t="str">
        <f>IFERROR(VLOOKUP($D267,Insumos!$B:$U,D$1,0),"")</f>
        <v>Unidad</v>
      </c>
      <c r="F267" s="104">
        <v>1.0</v>
      </c>
      <c r="G267" s="104">
        <f>IFERROR(VLOOKUP($D267,Insumos!$B:$U,G$1,0)/VLOOKUP($D267,Insumos!$B:$U,F$1,0),"")</f>
        <v>68</v>
      </c>
      <c r="H267" s="104">
        <f t="shared" si="66"/>
        <v>68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05">
        <f t="shared" ref="B268:C268" si="157">IF($D268="","",B267)</f>
        <v>26</v>
      </c>
      <c r="C268" s="105" t="str">
        <f t="shared" si="157"/>
        <v>Des- DIA DE LA MADRE</v>
      </c>
      <c r="D268" s="105" t="s">
        <v>456</v>
      </c>
      <c r="E268" s="105" t="str">
        <f>IFERROR(VLOOKUP($D268,Insumos!$B:$U,D$1,0),"")</f>
        <v>Unidad</v>
      </c>
      <c r="F268" s="106">
        <v>1.0</v>
      </c>
      <c r="G268" s="106">
        <f>IFERROR(VLOOKUP($D268,Insumos!$B:$U,G$1,0)/VLOOKUP($D268,Insumos!$B:$U,F$1,0),"")</f>
        <v>61</v>
      </c>
      <c r="H268" s="106">
        <f t="shared" si="66"/>
        <v>61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05">
        <f t="shared" ref="B269:C269" si="158">IF($D269="","",B268)</f>
        <v>26</v>
      </c>
      <c r="C269" s="105" t="str">
        <f t="shared" si="158"/>
        <v>Des- DIA DE LA MADRE</v>
      </c>
      <c r="D269" s="105" t="s">
        <v>592</v>
      </c>
      <c r="E269" s="105" t="str">
        <f>IFERROR(VLOOKUP($D269,Insumos!$B:$U,D$1,0),"")</f>
        <v>Grs</v>
      </c>
      <c r="F269" s="106">
        <v>15.0</v>
      </c>
      <c r="G269" s="106">
        <f>IFERROR(VLOOKUP($D269,Insumos!$B:$U,G$1,0)/VLOOKUP($D269,Insumos!$B:$U,F$1,0),"")</f>
        <v>6</v>
      </c>
      <c r="H269" s="106">
        <f t="shared" si="66"/>
        <v>90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05">
        <f t="shared" ref="B270:C270" si="159">IF($D270="","",B269)</f>
        <v>26</v>
      </c>
      <c r="C270" s="105" t="str">
        <f t="shared" si="159"/>
        <v>Des- DIA DE LA MADRE</v>
      </c>
      <c r="D270" s="105" t="s">
        <v>593</v>
      </c>
      <c r="E270" s="105" t="str">
        <f>IFERROR(VLOOKUP($D270,Insumos!$B:$U,D$1,0),"")</f>
        <v>Unidad</v>
      </c>
      <c r="F270" s="106">
        <v>1.0</v>
      </c>
      <c r="G270" s="106">
        <f>IFERROR(VLOOKUP($D270,Insumos!$B:$U,G$1,0)/VLOOKUP($D270,Insumos!$B:$U,F$1,0),"")</f>
        <v>50</v>
      </c>
      <c r="H270" s="106">
        <f t="shared" si="66"/>
        <v>50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07">
        <f t="shared" ref="B271:C271" si="160">IF($D271="","",B270)</f>
        <v>26</v>
      </c>
      <c r="C271" s="107" t="str">
        <f t="shared" si="160"/>
        <v>Des- DIA DE LA MADRE</v>
      </c>
      <c r="D271" s="107" t="s">
        <v>594</v>
      </c>
      <c r="E271" s="107" t="str">
        <f>IFERROR(VLOOKUP($D271,Insumos!$B:$U,D$1,0),"")</f>
        <v>Unidad</v>
      </c>
      <c r="F271" s="108">
        <v>1.0</v>
      </c>
      <c r="G271" s="108">
        <f>IFERROR(VLOOKUP($D271,Insumos!$B:$U,G$1,0)/VLOOKUP($D271,Insumos!$B:$U,F$1,0),"")</f>
        <v>50</v>
      </c>
      <c r="H271" s="108">
        <f t="shared" si="66"/>
        <v>50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3">
        <v>27.0</v>
      </c>
      <c r="C272" s="13" t="s">
        <v>595</v>
      </c>
      <c r="D272" s="13" t="str">
        <f t="shared" ref="D272:E272" si="161">D3</f>
        <v>Manteca</v>
      </c>
      <c r="E272" s="13" t="str">
        <f t="shared" si="161"/>
        <v>Grs</v>
      </c>
      <c r="F272" s="70">
        <f t="shared" ref="F272:F275" si="164">F3/5</f>
        <v>40</v>
      </c>
      <c r="G272" s="70">
        <f>IFERROR(VLOOKUP($D272,Insumos!$B:$U,G$1,0)/VLOOKUP($D272,Insumos!$B:$U,F$1,0),"")</f>
        <v>11</v>
      </c>
      <c r="H272" s="70">
        <f t="shared" si="66"/>
        <v>440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3">
        <f t="shared" ref="B273:C273" si="162">IF($D273="","",B272)</f>
        <v>27</v>
      </c>
      <c r="C273" s="13" t="str">
        <f t="shared" si="162"/>
        <v>Desayuno 108</v>
      </c>
      <c r="D273" s="13" t="str">
        <f t="shared" ref="D273:E273" si="163">D4</f>
        <v>Azúcar</v>
      </c>
      <c r="E273" s="13" t="str">
        <f t="shared" si="163"/>
        <v>Grs</v>
      </c>
      <c r="F273" s="70">
        <f t="shared" si="164"/>
        <v>40</v>
      </c>
      <c r="G273" s="70">
        <f>IFERROR(VLOOKUP($D273,Insumos!$B:$U,G$1,0)/VLOOKUP($D273,Insumos!$B:$U,F$1,0),"")</f>
        <v>1.4</v>
      </c>
      <c r="H273" s="70">
        <f t="shared" si="66"/>
        <v>56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3">
        <f t="shared" ref="B274:C274" si="165">IF($D274="","",B273)</f>
        <v>27</v>
      </c>
      <c r="C274" s="13" t="str">
        <f t="shared" si="165"/>
        <v>Desayuno 108</v>
      </c>
      <c r="D274" s="13" t="str">
        <f t="shared" ref="D274:E274" si="166">D5</f>
        <v>Huevo</v>
      </c>
      <c r="E274" s="13" t="str">
        <f t="shared" si="166"/>
        <v>Unidad</v>
      </c>
      <c r="F274" s="70">
        <f t="shared" si="164"/>
        <v>0.8</v>
      </c>
      <c r="G274" s="70">
        <f>IFERROR(VLOOKUP($D274,Insumos!$B:$U,G$1,0)/VLOOKUP($D274,Insumos!$B:$U,F$1,0),"")</f>
        <v>166.6666667</v>
      </c>
      <c r="H274" s="70">
        <f t="shared" si="66"/>
        <v>133.3333333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3">
        <f t="shared" ref="B275:C275" si="167">IF($D275="","",B274)</f>
        <v>27</v>
      </c>
      <c r="C275" s="13" t="str">
        <f t="shared" si="167"/>
        <v>Desayuno 108</v>
      </c>
      <c r="D275" s="13" t="str">
        <f t="shared" ref="D275:E275" si="168">D6</f>
        <v>Harina 0000</v>
      </c>
      <c r="E275" s="13" t="str">
        <f t="shared" si="168"/>
        <v>Grs</v>
      </c>
      <c r="F275" s="70">
        <f t="shared" si="164"/>
        <v>54</v>
      </c>
      <c r="G275" s="70">
        <f>IFERROR(VLOOKUP($D275,Insumos!$B:$U,G$1,0)/VLOOKUP($D275,Insumos!$B:$U,F$1,0),"")</f>
        <v>0.82</v>
      </c>
      <c r="H275" s="70">
        <f t="shared" si="66"/>
        <v>44.28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3">
        <f t="shared" ref="B276:C276" si="169">IF($D276="","",B275)</f>
        <v>27</v>
      </c>
      <c r="C276" s="13" t="str">
        <f t="shared" si="169"/>
        <v>Desayuno 108</v>
      </c>
      <c r="D276" s="13" t="str">
        <f t="shared" ref="D276:E276" si="170">D8</f>
        <v>Limón</v>
      </c>
      <c r="E276" s="13" t="str">
        <f t="shared" si="170"/>
        <v>Unidad</v>
      </c>
      <c r="F276" s="70">
        <f>F8/5</f>
        <v>0.4</v>
      </c>
      <c r="G276" s="70">
        <f>IFERROR(VLOOKUP($D276,Insumos!$B:$U,G$1,0)/VLOOKUP($D276,Insumos!$B:$U,F$1,0),"")</f>
        <v>180</v>
      </c>
      <c r="H276" s="70">
        <f t="shared" si="66"/>
        <v>72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3">
        <f t="shared" ref="B277:C277" si="171">IF($D277="","",B276)</f>
        <v>27</v>
      </c>
      <c r="C277" s="13" t="str">
        <f t="shared" si="171"/>
        <v>Desayuno 108</v>
      </c>
      <c r="D277" s="13" t="str">
        <f t="shared" ref="D277:E277" si="172">D11</f>
        <v>Azúcar impalpable</v>
      </c>
      <c r="E277" s="13" t="str">
        <f t="shared" si="172"/>
        <v>Grs</v>
      </c>
      <c r="F277" s="70">
        <f>F11/5</f>
        <v>50</v>
      </c>
      <c r="G277" s="70">
        <f>IFERROR(VLOOKUP($D277,Insumos!$B:$U,G$1,0)/VLOOKUP($D277,Insumos!$B:$U,F$1,0),"")</f>
        <v>1.5</v>
      </c>
      <c r="H277" s="70">
        <f t="shared" si="66"/>
        <v>75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3">
        <f t="shared" ref="B278:C278" si="173">IF($D278="","",B277)</f>
        <v>27</v>
      </c>
      <c r="C278" s="13" t="str">
        <f t="shared" si="173"/>
        <v>Desayuno 108</v>
      </c>
      <c r="D278" s="13" t="s">
        <v>508</v>
      </c>
      <c r="E278" s="13" t="str">
        <f>IFERROR(VLOOKUP($D278,Insumos!$B:$U,D$1,0),"")</f>
        <v>Unidad</v>
      </c>
      <c r="F278" s="70">
        <v>1.0</v>
      </c>
      <c r="G278" s="70">
        <f>IFERROR(VLOOKUP($D278,Insumos!$B:$U,G$1,0)/VLOOKUP($D278,Insumos!$B:$U,F$1,0),"")</f>
        <v>3.333333333</v>
      </c>
      <c r="H278" s="70">
        <f t="shared" si="66"/>
        <v>3.333333333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3">
        <f t="shared" ref="B279:C279" si="174">IF($D279="","",B278)</f>
        <v>27</v>
      </c>
      <c r="C279" s="13" t="str">
        <f t="shared" si="174"/>
        <v>Desayuno 108</v>
      </c>
      <c r="D279" s="13" t="s">
        <v>399</v>
      </c>
      <c r="E279" s="13" t="str">
        <f>IFERROR(VLOOKUP($D279,Insumos!$B:$U,D$1,0),"")</f>
        <v>Unidad</v>
      </c>
      <c r="F279" s="70">
        <v>1.0</v>
      </c>
      <c r="G279" s="70">
        <f>IFERROR(VLOOKUP($D279,Insumos!$B:$U,G$1,0)/VLOOKUP($D279,Insumos!$B:$U,F$1,0),"")</f>
        <v>700</v>
      </c>
      <c r="H279" s="70">
        <f t="shared" si="66"/>
        <v>700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3">
        <f t="shared" ref="B280:C280" si="175">IF($D280="","",B279)</f>
        <v>27</v>
      </c>
      <c r="C280" s="13" t="str">
        <f t="shared" si="175"/>
        <v>Desayuno 108</v>
      </c>
      <c r="D280" s="13" t="s">
        <v>505</v>
      </c>
      <c r="E280" s="13" t="str">
        <f>IFERROR(VLOOKUP($D280,Insumos!$B:$U,D$1,0),"")</f>
        <v>Grs</v>
      </c>
      <c r="F280" s="70">
        <v>125.0</v>
      </c>
      <c r="G280" s="70">
        <f>IFERROR(VLOOKUP($D280,Insumos!$B:$U,G$1,0)/VLOOKUP($D280,Insumos!$B:$U,F$1,0),"")</f>
        <v>11</v>
      </c>
      <c r="H280" s="70">
        <f t="shared" si="66"/>
        <v>1375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3">
        <f t="shared" ref="B281:C281" si="176">IF($D281="","",B280)</f>
        <v>27</v>
      </c>
      <c r="C281" s="13" t="str">
        <f t="shared" si="176"/>
        <v>Desayuno 108</v>
      </c>
      <c r="D281" s="13" t="s">
        <v>395</v>
      </c>
      <c r="E281" s="13" t="str">
        <f>IFERROR(VLOOKUP($D281,Insumos!$B:$U,D$1,0),"")</f>
        <v>Grs</v>
      </c>
      <c r="F281" s="70">
        <v>125.0</v>
      </c>
      <c r="G281" s="70">
        <f>IFERROR(VLOOKUP($D281,Insumos!$B:$U,G$1,0)/VLOOKUP($D281,Insumos!$B:$U,F$1,0),"")</f>
        <v>1.4</v>
      </c>
      <c r="H281" s="70">
        <f t="shared" si="66"/>
        <v>175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3">
        <f t="shared" ref="B282:C282" si="177">IF($D282="","",B281)</f>
        <v>27</v>
      </c>
      <c r="C282" s="13" t="str">
        <f t="shared" si="177"/>
        <v>Desayuno 108</v>
      </c>
      <c r="D282" s="13" t="s">
        <v>569</v>
      </c>
      <c r="E282" s="13" t="str">
        <f>IFERROR(VLOOKUP($D282,Insumos!$B:$U,D$1,0),"")</f>
        <v>Unidad</v>
      </c>
      <c r="F282" s="70">
        <v>1.0</v>
      </c>
      <c r="G282" s="70">
        <f>IFERROR(VLOOKUP($D282,Insumos!$B:$U,G$1,0)/VLOOKUP($D282,Insumos!$B:$U,F$1,0),"")</f>
        <v>166.6666667</v>
      </c>
      <c r="H282" s="70">
        <f t="shared" si="66"/>
        <v>166.6666667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3">
        <f t="shared" ref="B283:C283" si="178">IF($D283="","",B282)</f>
        <v>27</v>
      </c>
      <c r="C283" s="13" t="str">
        <f t="shared" si="178"/>
        <v>Desayuno 108</v>
      </c>
      <c r="D283" s="13" t="s">
        <v>491</v>
      </c>
      <c r="E283" s="13" t="str">
        <f>IFERROR(VLOOKUP($D283,Insumos!$B:$U,D$1,0),"")</f>
        <v>Grs</v>
      </c>
      <c r="F283" s="70">
        <v>250.0</v>
      </c>
      <c r="G283" s="70">
        <f>IFERROR(VLOOKUP($D283,Insumos!$B:$U,G$1,0)/VLOOKUP($D283,Insumos!$B:$U,F$1,0),"")</f>
        <v>1.5</v>
      </c>
      <c r="H283" s="70">
        <f t="shared" si="66"/>
        <v>375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3">
        <f t="shared" ref="B284:C284" si="179">IF($D284="","",B283)</f>
        <v>27</v>
      </c>
      <c r="C284" s="13" t="str">
        <f t="shared" si="179"/>
        <v>Desayuno 108</v>
      </c>
      <c r="D284" s="13" t="s">
        <v>468</v>
      </c>
      <c r="E284" s="13" t="str">
        <f>IFERROR(VLOOKUP($D284,Insumos!$B:$U,D$1,0),"")</f>
        <v>Cm3</v>
      </c>
      <c r="F284" s="70">
        <v>5.0</v>
      </c>
      <c r="G284" s="70">
        <f>IFERROR(VLOOKUP($D284,Insumos!$B:$U,G$1,0)/VLOOKUP($D284,Insumos!$B:$U,F$1,0),"")</f>
        <v>1.52</v>
      </c>
      <c r="H284" s="70">
        <f t="shared" si="66"/>
        <v>7.6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3">
        <f t="shared" ref="B285:C285" si="180">IF($D285="","",B284)</f>
        <v>27</v>
      </c>
      <c r="C285" s="13" t="str">
        <f t="shared" si="180"/>
        <v>Desayuno 108</v>
      </c>
      <c r="D285" s="13" t="s">
        <v>454</v>
      </c>
      <c r="E285" s="13" t="str">
        <f>IFERROR(VLOOKUP($D285,Insumos!$B:$U,D$1,0),"")</f>
        <v>Grs</v>
      </c>
      <c r="F285" s="70">
        <f>40/6</f>
        <v>6.666666667</v>
      </c>
      <c r="G285" s="70">
        <f>IFERROR(VLOOKUP($D285,Insumos!$B:$U,G$1,0)/VLOOKUP($D285,Insumos!$B:$U,F$1,0),"")</f>
        <v>10</v>
      </c>
      <c r="H285" s="70">
        <f t="shared" si="66"/>
        <v>66.66666667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3">
        <f t="shared" ref="B286:C286" si="181">IF($D286="","",B285)</f>
        <v>27</v>
      </c>
      <c r="C286" s="13" t="str">
        <f t="shared" si="181"/>
        <v>Desayuno 108</v>
      </c>
      <c r="D286" s="13" t="s">
        <v>547</v>
      </c>
      <c r="E286" s="13" t="str">
        <f>IFERROR(VLOOKUP($D286,Insumos!$B:$U,D$1,0),"")</f>
        <v>Unidad</v>
      </c>
      <c r="F286" s="70">
        <v>1.0</v>
      </c>
      <c r="G286" s="70">
        <f>IFERROR(VLOOKUP($D286,Insumos!$B:$U,G$1,0)/VLOOKUP($D286,Insumos!$B:$U,F$1,0),"")</f>
        <v>6000</v>
      </c>
      <c r="H286" s="70">
        <f t="shared" si="66"/>
        <v>6000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81">
        <f t="shared" ref="B287:C287" si="182">IF($D287="","",B286)</f>
        <v>27</v>
      </c>
      <c r="C287" s="81" t="str">
        <f t="shared" si="182"/>
        <v>Desayuno 108</v>
      </c>
      <c r="D287" s="81" t="s">
        <v>428</v>
      </c>
      <c r="E287" s="81" t="str">
        <f>IFERROR(VLOOKUP($D287,Insumos!$B:$U,D$1,0),"")</f>
        <v>Unidad</v>
      </c>
      <c r="F287" s="82">
        <v>1.0</v>
      </c>
      <c r="G287" s="82">
        <f>IFERROR(VLOOKUP($D287,Insumos!$B:$U,G$1,0)/VLOOKUP($D287,Insumos!$B:$U,F$1,0),"")</f>
        <v>436</v>
      </c>
      <c r="H287" s="82">
        <f t="shared" si="66"/>
        <v>436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3">
        <v>28.0</v>
      </c>
      <c r="C288" s="13" t="s">
        <v>596</v>
      </c>
      <c r="D288" s="13" t="s">
        <v>568</v>
      </c>
      <c r="E288" s="13" t="str">
        <f>IFERROR(VLOOKUP($D288,Insumos!$B:$U,D$1,0),"")</f>
        <v>Grs</v>
      </c>
      <c r="F288" s="70">
        <v>125.0</v>
      </c>
      <c r="G288" s="70">
        <f>IFERROR(VLOOKUP($D288,Insumos!$B:$U,G$1,0)/VLOOKUP($D288,Insumos!$B:$U,F$1,0),"")</f>
        <v>11</v>
      </c>
      <c r="H288" s="70">
        <f t="shared" si="66"/>
        <v>1375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3">
        <f t="shared" ref="B289:C289" si="183">IF($D289="","",B288)</f>
        <v>28</v>
      </c>
      <c r="C289" s="13" t="str">
        <f t="shared" si="183"/>
        <v>Cookies decoradas x 12u</v>
      </c>
      <c r="D289" s="13" t="s">
        <v>597</v>
      </c>
      <c r="E289" s="13" t="str">
        <f>IFERROR(VLOOKUP($D289,Insumos!$B:$U,D$1,0),"")</f>
        <v>Grs</v>
      </c>
      <c r="F289" s="70">
        <v>375.0</v>
      </c>
      <c r="G289" s="70">
        <f>IFERROR(VLOOKUP($D289,Insumos!$B:$U,G$1,0)/VLOOKUP($D289,Insumos!$B:$U,F$1,0),"")</f>
        <v>1.5</v>
      </c>
      <c r="H289" s="70">
        <f t="shared" si="66"/>
        <v>562.5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3">
        <f t="shared" ref="B290:C290" si="184">IF($D290="","",B289)</f>
        <v>28</v>
      </c>
      <c r="C290" s="13" t="str">
        <f t="shared" si="184"/>
        <v>Cookies decoradas x 12u</v>
      </c>
      <c r="D290" s="13" t="s">
        <v>492</v>
      </c>
      <c r="E290" s="13" t="str">
        <f>IFERROR(VLOOKUP($D290,Insumos!$B:$U,D$1,0),"")</f>
        <v>Unidad</v>
      </c>
      <c r="F290" s="70">
        <v>2.0</v>
      </c>
      <c r="G290" s="70">
        <f>IFERROR(VLOOKUP($D290,Insumos!$B:$U,G$1,0)/VLOOKUP($D290,Insumos!$B:$U,F$1,0),"")</f>
        <v>166.6666667</v>
      </c>
      <c r="H290" s="70">
        <f t="shared" si="66"/>
        <v>333.3333333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3">
        <f t="shared" ref="B291:C291" si="185">IF($D291="","",B290)</f>
        <v>28</v>
      </c>
      <c r="C291" s="13" t="str">
        <f t="shared" si="185"/>
        <v>Cookies decoradas x 12u</v>
      </c>
      <c r="D291" s="13" t="s">
        <v>468</v>
      </c>
      <c r="E291" s="13" t="str">
        <f>IFERROR(VLOOKUP($D291,Insumos!$B:$U,D$1,0),"")</f>
        <v>Cm3</v>
      </c>
      <c r="F291" s="70">
        <v>10.0</v>
      </c>
      <c r="G291" s="70">
        <f>IFERROR(VLOOKUP($D291,Insumos!$B:$U,G$1,0)/VLOOKUP($D291,Insumos!$B:$U,F$1,0),"")</f>
        <v>1.52</v>
      </c>
      <c r="H291" s="70">
        <f t="shared" si="66"/>
        <v>15.2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3">
        <f t="shared" ref="B292:C292" si="186">IF($D292="","",B291)</f>
        <v>28</v>
      </c>
      <c r="C292" s="13" t="str">
        <f t="shared" si="186"/>
        <v>Cookies decoradas x 12u</v>
      </c>
      <c r="D292" s="13" t="s">
        <v>489</v>
      </c>
      <c r="E292" s="13" t="str">
        <f>IFERROR(VLOOKUP($D292,Insumos!$B:$U,D$1,0),"")</f>
        <v>Grs</v>
      </c>
      <c r="F292" s="70">
        <v>225.0</v>
      </c>
      <c r="G292" s="70">
        <f>IFERROR(VLOOKUP($D292,Insumos!$B:$U,G$1,0)/VLOOKUP($D292,Insumos!$B:$U,F$1,0),"")</f>
        <v>0.82</v>
      </c>
      <c r="H292" s="70">
        <f t="shared" si="66"/>
        <v>184.5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3">
        <f t="shared" ref="B293:C293" si="187">IF($D293="","",B292)</f>
        <v>28</v>
      </c>
      <c r="C293" s="13" t="str">
        <f t="shared" si="187"/>
        <v>Cookies decoradas x 12u</v>
      </c>
      <c r="D293" s="13" t="s">
        <v>500</v>
      </c>
      <c r="E293" s="13" t="str">
        <f>IFERROR(VLOOKUP($D293,Insumos!$B:$U,D$1,0),"")</f>
        <v>Unidad</v>
      </c>
      <c r="F293" s="70">
        <v>1.0</v>
      </c>
      <c r="G293" s="70">
        <f>IFERROR(VLOOKUP($D293,Insumos!$B:$U,G$1,0)/VLOOKUP($D293,Insumos!$B:$U,F$1,0),"")</f>
        <v>180</v>
      </c>
      <c r="H293" s="70">
        <f t="shared" si="66"/>
        <v>180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3">
        <f t="shared" ref="B294:C294" si="188">IF($D294="","",B293)</f>
        <v>28</v>
      </c>
      <c r="C294" s="13" t="str">
        <f t="shared" si="188"/>
        <v>Cookies decoradas x 12u</v>
      </c>
      <c r="D294" s="13" t="s">
        <v>411</v>
      </c>
      <c r="E294" s="13" t="str">
        <f>IFERROR(VLOOKUP($D294,Insumos!$B:$U,D$1,0),"")</f>
        <v>Unidad</v>
      </c>
      <c r="F294" s="70">
        <v>20.0</v>
      </c>
      <c r="G294" s="70">
        <f>IFERROR(VLOOKUP($D294,Insumos!$B:$U,G$1,0)/VLOOKUP($D294,Insumos!$B:$U,F$1,0),"")</f>
        <v>7.94</v>
      </c>
      <c r="H294" s="70">
        <f t="shared" si="66"/>
        <v>158.8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81">
        <f t="shared" ref="B295:C295" si="189">IF($D295="","",B294)</f>
        <v>28</v>
      </c>
      <c r="C295" s="81" t="str">
        <f t="shared" si="189"/>
        <v>Cookies decoradas x 12u</v>
      </c>
      <c r="D295" s="81" t="s">
        <v>598</v>
      </c>
      <c r="E295" s="81" t="str">
        <f>IFERROR(VLOOKUP($D295,Insumos!$B:$U,D$1,0),"")</f>
        <v>Grs</v>
      </c>
      <c r="F295" s="82">
        <f>6*5</f>
        <v>30</v>
      </c>
      <c r="G295" s="82">
        <f>IFERROR(VLOOKUP($D295,Insumos!$B:$U,G$1,0)/VLOOKUP($D295,Insumos!$B:$U,F$1,0),"")</f>
        <v>120</v>
      </c>
      <c r="H295" s="82">
        <f t="shared" si="66"/>
        <v>3600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3">
        <v>29.0</v>
      </c>
      <c r="C296" s="13" t="s">
        <v>599</v>
      </c>
      <c r="D296" s="13" t="s">
        <v>505</v>
      </c>
      <c r="E296" s="13" t="str">
        <f>IFERROR(VLOOKUP($D296,Insumos!$B:$U,D$1,0),"")</f>
        <v>Grs</v>
      </c>
      <c r="F296" s="70">
        <v>140.0</v>
      </c>
      <c r="G296" s="70">
        <f>IFERROR(VLOOKUP($D296,Insumos!$B:$U,G$1,0)/VLOOKUP($D296,Insumos!$B:$U,F$1,0),"")</f>
        <v>11</v>
      </c>
      <c r="H296" s="70">
        <f t="shared" si="66"/>
        <v>1540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3">
        <f t="shared" ref="B297:C297" si="190">IF($D297="","",B296)</f>
        <v>29</v>
      </c>
      <c r="C297" s="13" t="str">
        <f t="shared" si="190"/>
        <v>Chipa 1/2 kg</v>
      </c>
      <c r="D297" s="13" t="s">
        <v>492</v>
      </c>
      <c r="E297" s="13" t="str">
        <f>IFERROR(VLOOKUP($D297,Insumos!$B:$U,D$1,0),"")</f>
        <v>Unidad</v>
      </c>
      <c r="F297" s="70">
        <v>2.0</v>
      </c>
      <c r="G297" s="70">
        <f>IFERROR(VLOOKUP($D297,Insumos!$B:$U,G$1,0)/VLOOKUP($D297,Insumos!$B:$U,F$1,0),"")</f>
        <v>166.6666667</v>
      </c>
      <c r="H297" s="70">
        <f t="shared" si="66"/>
        <v>333.3333333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3">
        <f t="shared" ref="B298:C298" si="191">IF($D298="","",B297)</f>
        <v>29</v>
      </c>
      <c r="C298" s="13" t="str">
        <f t="shared" si="191"/>
        <v>Chipa 1/2 kg</v>
      </c>
      <c r="D298" s="13" t="s">
        <v>496</v>
      </c>
      <c r="E298" s="13" t="str">
        <f>IFERROR(VLOOKUP($D298,Insumos!$B:$U,D$1,0),"")</f>
        <v>Cm3</v>
      </c>
      <c r="F298" s="70">
        <v>100.0</v>
      </c>
      <c r="G298" s="70">
        <f>IFERROR(VLOOKUP($D298,Insumos!$B:$U,G$1,0)/VLOOKUP($D298,Insumos!$B:$U,F$1,0),"")</f>
        <v>2.1</v>
      </c>
      <c r="H298" s="70">
        <f t="shared" si="66"/>
        <v>210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3">
        <f t="shared" ref="B299:C299" si="192">IF($D299="","",B298)</f>
        <v>29</v>
      </c>
      <c r="C299" s="13" t="str">
        <f t="shared" si="192"/>
        <v>Chipa 1/2 kg</v>
      </c>
      <c r="D299" s="13" t="s">
        <v>600</v>
      </c>
      <c r="E299" s="13" t="str">
        <f>IFERROR(VLOOKUP($D299,Insumos!$B:$U,D$1,0),"")</f>
        <v>Grs</v>
      </c>
      <c r="F299" s="70">
        <v>250.0</v>
      </c>
      <c r="G299" s="70">
        <f>IFERROR(VLOOKUP($D299,Insumos!$B:$U,G$1,0)/VLOOKUP($D299,Insumos!$B:$U,F$1,0),"")</f>
        <v>18</v>
      </c>
      <c r="H299" s="70">
        <f t="shared" si="66"/>
        <v>4500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3">
        <f t="shared" ref="B300:C300" si="193">IF($D300="","",B299)</f>
        <v>29</v>
      </c>
      <c r="C300" s="13" t="str">
        <f t="shared" si="193"/>
        <v>Chipa 1/2 kg</v>
      </c>
      <c r="D300" s="13" t="s">
        <v>473</v>
      </c>
      <c r="E300" s="13" t="str">
        <f>IFERROR(VLOOKUP($D300,Insumos!$B:$U,D$1,0),"")</f>
        <v>Grs</v>
      </c>
      <c r="F300" s="70">
        <v>450.0</v>
      </c>
      <c r="G300" s="70">
        <f>IFERROR(VLOOKUP($D300,Insumos!$B:$U,G$1,0)/VLOOKUP($D300,Insumos!$B:$U,F$1,0),"")</f>
        <v>3.5</v>
      </c>
      <c r="H300" s="70">
        <f t="shared" si="66"/>
        <v>1575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81">
        <f t="shared" ref="B301:C301" si="194">IF($D301="","",B300)</f>
        <v>29</v>
      </c>
      <c r="C301" s="81" t="str">
        <f t="shared" si="194"/>
        <v>Chipa 1/2 kg</v>
      </c>
      <c r="D301" s="81" t="s">
        <v>413</v>
      </c>
      <c r="E301" s="81" t="str">
        <f>IFERROR(VLOOKUP($D301,Insumos!$B:$U,D$1,0),"")</f>
        <v>Unidad</v>
      </c>
      <c r="F301" s="82">
        <v>1.0</v>
      </c>
      <c r="G301" s="82">
        <f>IFERROR(VLOOKUP($D301,Insumos!$B:$U,G$1,0)/VLOOKUP($D301,Insumos!$B:$U,F$1,0),"")</f>
        <v>34</v>
      </c>
      <c r="H301" s="82">
        <f t="shared" si="66"/>
        <v>34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3">
        <v>30.0</v>
      </c>
      <c r="C302" s="13" t="s">
        <v>601</v>
      </c>
      <c r="D302" s="13" t="s">
        <v>489</v>
      </c>
      <c r="E302" s="13" t="str">
        <f>IFERROR(VLOOKUP($D302,Insumos!$B:$U,D$1,0),"")</f>
        <v>Grs</v>
      </c>
      <c r="F302" s="70">
        <v>500.0</v>
      </c>
      <c r="G302" s="70">
        <f>IFERROR(VLOOKUP($D302,Insumos!$B:$U,G$1,0)/VLOOKUP($D302,Insumos!$B:$U,F$1,0),"")</f>
        <v>0.82</v>
      </c>
      <c r="H302" s="70">
        <f t="shared" si="66"/>
        <v>410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3">
        <f t="shared" ref="B303:C303" si="195">IF($D303="","",B302)</f>
        <v>30</v>
      </c>
      <c r="C303" s="13" t="str">
        <f t="shared" si="195"/>
        <v>Pan Saborizado</v>
      </c>
      <c r="D303" s="13" t="s">
        <v>602</v>
      </c>
      <c r="E303" s="13" t="str">
        <f>IFERROR(VLOOKUP($D303,Insumos!$B:$U,D$1,0),"")</f>
        <v>Grs</v>
      </c>
      <c r="F303" s="70">
        <v>25.0</v>
      </c>
      <c r="G303" s="70">
        <f>IFERROR(VLOOKUP($D303,Insumos!$B:$U,G$1,0)/VLOOKUP($D303,Insumos!$B:$U,F$1,0),"")</f>
        <v>8</v>
      </c>
      <c r="H303" s="70">
        <f t="shared" si="66"/>
        <v>200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3">
        <f t="shared" ref="B304:C304" si="196">IF($D304="","",B303)</f>
        <v>30</v>
      </c>
      <c r="C304" s="13" t="str">
        <f t="shared" si="196"/>
        <v>Pan Saborizado</v>
      </c>
      <c r="D304" s="13" t="s">
        <v>603</v>
      </c>
      <c r="E304" s="13" t="str">
        <f>IFERROR(VLOOKUP($D304,Insumos!$B:$U,D$1,0),"")</f>
        <v>Grs</v>
      </c>
      <c r="F304" s="70">
        <v>50.0</v>
      </c>
      <c r="G304" s="93">
        <f>IFERROR(VLOOKUP($D304,Insumos!$B:$U,G$1,0)/VLOOKUP($D304,Insumos!$B:$U,F$1,0),"")</f>
        <v>0.15</v>
      </c>
      <c r="H304" s="70">
        <f t="shared" si="66"/>
        <v>7.5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3">
        <f t="shared" ref="B305:C305" si="197">IF($D305="","",B304)</f>
        <v>30</v>
      </c>
      <c r="C305" s="13" t="str">
        <f t="shared" si="197"/>
        <v>Pan Saborizado</v>
      </c>
      <c r="D305" s="13" t="s">
        <v>395</v>
      </c>
      <c r="E305" s="13" t="str">
        <f>IFERROR(VLOOKUP($D305,Insumos!$B:$U,D$1,0),"")</f>
        <v>Grs</v>
      </c>
      <c r="F305" s="70">
        <v>3.0</v>
      </c>
      <c r="G305" s="70">
        <f>IFERROR(VLOOKUP($D305,Insumos!$B:$U,G$1,0)/VLOOKUP($D305,Insumos!$B:$U,F$1,0),"")</f>
        <v>1.4</v>
      </c>
      <c r="H305" s="70">
        <f t="shared" si="66"/>
        <v>4.2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81">
        <f t="shared" ref="B306:C306" si="198">IF($D306="","",B305)</f>
        <v>30</v>
      </c>
      <c r="C306" s="81" t="str">
        <f t="shared" si="198"/>
        <v>Pan Saborizado</v>
      </c>
      <c r="D306" s="81" t="s">
        <v>413</v>
      </c>
      <c r="E306" s="81" t="str">
        <f>IFERROR(VLOOKUP($D306,Insumos!$B:$U,D$1,0),"")</f>
        <v>Unidad</v>
      </c>
      <c r="F306" s="82">
        <v>1.0</v>
      </c>
      <c r="G306" s="82">
        <f>IFERROR(VLOOKUP($D306,Insumos!$B:$U,G$1,0)/VLOOKUP($D306,Insumos!$B:$U,F$1,0),"")</f>
        <v>34</v>
      </c>
      <c r="H306" s="82">
        <f t="shared" si="66"/>
        <v>34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3">
        <v>31.0</v>
      </c>
      <c r="C307" s="13" t="s">
        <v>38</v>
      </c>
      <c r="D307" s="13" t="s">
        <v>489</v>
      </c>
      <c r="E307" s="13" t="str">
        <f>IFERROR(VLOOKUP($D307,Insumos!$B:$U,D$1,0),"")</f>
        <v>Grs</v>
      </c>
      <c r="F307" s="70">
        <v>500.0</v>
      </c>
      <c r="G307" s="70">
        <f>IFERROR(VLOOKUP($D307,Insumos!$B:$U,G$1,0)/VLOOKUP($D307,Insumos!$B:$U,F$1,0),"")</f>
        <v>0.82</v>
      </c>
      <c r="H307" s="70">
        <f t="shared" si="66"/>
        <v>410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3">
        <f t="shared" ref="B308:C308" si="199">IF($D308="","",B307)</f>
        <v>31</v>
      </c>
      <c r="C308" s="13" t="str">
        <f t="shared" si="199"/>
        <v>Pan Trenzado</v>
      </c>
      <c r="D308" s="13" t="s">
        <v>602</v>
      </c>
      <c r="E308" s="13" t="str">
        <f>IFERROR(VLOOKUP($D308,Insumos!$B:$U,D$1,0),"")</f>
        <v>Grs</v>
      </c>
      <c r="F308" s="70">
        <v>50.0</v>
      </c>
      <c r="G308" s="70">
        <f>IFERROR(VLOOKUP($D308,Insumos!$B:$U,G$1,0)/VLOOKUP($D308,Insumos!$B:$U,F$1,0),"")</f>
        <v>8</v>
      </c>
      <c r="H308" s="70">
        <f t="shared" si="66"/>
        <v>400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3">
        <f t="shared" ref="B309:C309" si="200">IF($D309="","",B308)</f>
        <v>31</v>
      </c>
      <c r="C309" s="13" t="str">
        <f t="shared" si="200"/>
        <v>Pan Trenzado</v>
      </c>
      <c r="D309" s="13" t="s">
        <v>496</v>
      </c>
      <c r="E309" s="13" t="str">
        <f>IFERROR(VLOOKUP($D309,Insumos!$B:$U,D$1,0),"")</f>
        <v>Cm3</v>
      </c>
      <c r="F309" s="70">
        <v>100.0</v>
      </c>
      <c r="G309" s="70">
        <f>IFERROR(VLOOKUP($D309,Insumos!$B:$U,G$1,0)/VLOOKUP($D309,Insumos!$B:$U,F$1,0),"")</f>
        <v>2.1</v>
      </c>
      <c r="H309" s="70">
        <f t="shared" si="66"/>
        <v>210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3">
        <f t="shared" ref="B310:C310" si="201">IF($D310="","",B309)</f>
        <v>31</v>
      </c>
      <c r="C310" s="13" t="str">
        <f t="shared" si="201"/>
        <v>Pan Trenzado</v>
      </c>
      <c r="D310" s="13" t="s">
        <v>492</v>
      </c>
      <c r="E310" s="13" t="str">
        <f>IFERROR(VLOOKUP($D310,Insumos!$B:$U,D$1,0),"")</f>
        <v>Unidad</v>
      </c>
      <c r="F310" s="70">
        <v>1.0</v>
      </c>
      <c r="G310" s="70">
        <f>IFERROR(VLOOKUP($D310,Insumos!$B:$U,G$1,0)/VLOOKUP($D310,Insumos!$B:$U,F$1,0),"")</f>
        <v>166.6666667</v>
      </c>
      <c r="H310" s="70">
        <f t="shared" si="66"/>
        <v>166.6666667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81">
        <f t="shared" ref="B311:C311" si="202">IF($D311="","",B310)</f>
        <v>31</v>
      </c>
      <c r="C311" s="81" t="str">
        <f t="shared" si="202"/>
        <v>Pan Trenzado</v>
      </c>
      <c r="D311" s="81" t="s">
        <v>413</v>
      </c>
      <c r="E311" s="81" t="str">
        <f>IFERROR(VLOOKUP($D311,Insumos!$B:$U,D$1,0),"")</f>
        <v>Unidad</v>
      </c>
      <c r="F311" s="82">
        <v>1.0</v>
      </c>
      <c r="G311" s="82">
        <f>IFERROR(VLOOKUP($D311,Insumos!$B:$U,G$1,0)/VLOOKUP($D311,Insumos!$B:$U,F$1,0),"")</f>
        <v>34</v>
      </c>
      <c r="H311" s="82">
        <f t="shared" si="66"/>
        <v>34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3">
        <v>32.0</v>
      </c>
      <c r="C312" s="13" t="s">
        <v>604</v>
      </c>
      <c r="D312" s="13" t="s">
        <v>397</v>
      </c>
      <c r="E312" s="13" t="str">
        <f>IFERROR(VLOOKUP($D312,Insumos!$B:$U,D$1,0),"")</f>
        <v>Grs</v>
      </c>
      <c r="F312" s="70">
        <f>(125+250)/4</f>
        <v>93.75</v>
      </c>
      <c r="G312" s="70">
        <f>IFERROR(VLOOKUP($D312,Insumos!$B:$U,G$1,0)/VLOOKUP($D312,Insumos!$B:$U,F$1,0),"")</f>
        <v>1.5</v>
      </c>
      <c r="H312" s="70">
        <f t="shared" si="66"/>
        <v>140.625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3">
        <f t="shared" ref="B313:C313" si="203">IF($D313="","",B312)</f>
        <v>32</v>
      </c>
      <c r="C313" s="13" t="str">
        <f t="shared" si="203"/>
        <v>Halloween</v>
      </c>
      <c r="D313" s="13" t="s">
        <v>492</v>
      </c>
      <c r="E313" s="13" t="str">
        <f>IFERROR(VLOOKUP($D313,Insumos!$B:$U,D$1,0),"")</f>
        <v>Unidad</v>
      </c>
      <c r="F313" s="70">
        <f>2/15*4</f>
        <v>0.5333333333</v>
      </c>
      <c r="G313" s="70">
        <f>IFERROR(VLOOKUP($D313,Insumos!$B:$U,G$1,0)/VLOOKUP($D313,Insumos!$B:$U,F$1,0),"")</f>
        <v>166.6666667</v>
      </c>
      <c r="H313" s="70">
        <f t="shared" si="66"/>
        <v>88.88888889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3">
        <f t="shared" ref="B314:C314" si="204">IF($D314="","",B313)</f>
        <v>32</v>
      </c>
      <c r="C314" s="13" t="str">
        <f t="shared" si="204"/>
        <v>Halloween</v>
      </c>
      <c r="D314" s="13" t="s">
        <v>489</v>
      </c>
      <c r="E314" s="13" t="str">
        <f>IFERROR(VLOOKUP($D314,Insumos!$B:$U,D$1,0),"")</f>
        <v>Grs</v>
      </c>
      <c r="F314" s="70">
        <f>250/15*4</f>
        <v>66.66666667</v>
      </c>
      <c r="G314" s="70">
        <f>IFERROR(VLOOKUP($D314,Insumos!$B:$U,G$1,0)/VLOOKUP($D314,Insumos!$B:$U,F$1,0),"")</f>
        <v>0.82</v>
      </c>
      <c r="H314" s="70">
        <f t="shared" si="66"/>
        <v>54.66666667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3">
        <f t="shared" ref="B315:C315" si="205">IF($D315="","",B314)</f>
        <v>32</v>
      </c>
      <c r="C315" s="13" t="str">
        <f t="shared" si="205"/>
        <v>Halloween</v>
      </c>
      <c r="D315" s="13" t="s">
        <v>505</v>
      </c>
      <c r="E315" s="13" t="str">
        <f>IFERROR(VLOOKUP($D315,Insumos!$B:$U,D$1,0),"")</f>
        <v>Grs</v>
      </c>
      <c r="F315" s="70">
        <f>125/15*4</f>
        <v>33.33333333</v>
      </c>
      <c r="G315" s="70">
        <f>IFERROR(VLOOKUP($D315,Insumos!$B:$U,G$1,0)/VLOOKUP($D315,Insumos!$B:$U,F$1,0),"")</f>
        <v>11</v>
      </c>
      <c r="H315" s="70">
        <f t="shared" si="66"/>
        <v>366.6666667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3">
        <f t="shared" ref="B316:C316" si="206">IF($D316="","",B315)</f>
        <v>32</v>
      </c>
      <c r="C316" s="13" t="str">
        <f t="shared" si="206"/>
        <v>Halloween</v>
      </c>
      <c r="D316" s="13" t="s">
        <v>468</v>
      </c>
      <c r="E316" s="13" t="str">
        <f>IFERROR(VLOOKUP($D316,Insumos!$B:$U,D$1,0),"")</f>
        <v>Cm3</v>
      </c>
      <c r="F316" s="70">
        <v>3.0</v>
      </c>
      <c r="G316" s="70">
        <f>IFERROR(VLOOKUP($D316,Insumos!$B:$U,G$1,0)/VLOOKUP($D316,Insumos!$B:$U,F$1,0),"")</f>
        <v>1.52</v>
      </c>
      <c r="H316" s="70">
        <f t="shared" si="66"/>
        <v>4.56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3">
        <f t="shared" ref="B317:C317" si="207">IF($D317="","",B316)</f>
        <v>32</v>
      </c>
      <c r="C317" s="13" t="str">
        <f t="shared" si="207"/>
        <v>Halloween</v>
      </c>
      <c r="D317" s="13" t="s">
        <v>598</v>
      </c>
      <c r="E317" s="13" t="str">
        <f>IFERROR(VLOOKUP($D317,Insumos!$B:$U,D$1,0),"")</f>
        <v>Grs</v>
      </c>
      <c r="F317" s="70">
        <f>10/15*4*5</f>
        <v>13.33333333</v>
      </c>
      <c r="G317" s="70">
        <f>IFERROR(VLOOKUP($D317,Insumos!$B:$U,G$1,0)/VLOOKUP($D317,Insumos!$B:$U,F$1,0),"")</f>
        <v>120</v>
      </c>
      <c r="H317" s="70">
        <f t="shared" si="66"/>
        <v>1600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3">
        <f t="shared" ref="B318:C318" si="208">IF($D318="","",B317)</f>
        <v>32</v>
      </c>
      <c r="C318" s="13" t="str">
        <f t="shared" si="208"/>
        <v>Halloween</v>
      </c>
      <c r="D318" s="13" t="str">
        <f t="shared" ref="D318:D322" si="210">D12</f>
        <v>Azúcar</v>
      </c>
      <c r="E318" s="13" t="str">
        <f>IFERROR(VLOOKUP($D318,Insumos!$B:$U,D$1,0),"")</f>
        <v>Grs</v>
      </c>
      <c r="F318" s="70">
        <f t="shared" ref="F318:F321" si="211">F12/15*4</f>
        <v>13.86666667</v>
      </c>
      <c r="G318" s="70">
        <f>IFERROR(VLOOKUP($D318,Insumos!$B:$U,G$1,0)/VLOOKUP($D318,Insumos!$B:$U,F$1,0),"")</f>
        <v>1.4</v>
      </c>
      <c r="H318" s="70">
        <f t="shared" si="66"/>
        <v>19.41333333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3">
        <f t="shared" ref="B319:C319" si="209">IF($D319="","",B318)</f>
        <v>32</v>
      </c>
      <c r="C319" s="13" t="str">
        <f t="shared" si="209"/>
        <v>Halloween</v>
      </c>
      <c r="D319" s="13" t="str">
        <f t="shared" si="210"/>
        <v>Harina de almendras</v>
      </c>
      <c r="E319" s="13" t="str">
        <f>IFERROR(VLOOKUP($D319,Insumos!$B:$U,D$1,0),"")</f>
        <v>Grs</v>
      </c>
      <c r="F319" s="70">
        <f t="shared" si="211"/>
        <v>6.933333333</v>
      </c>
      <c r="G319" s="70">
        <f>IFERROR(VLOOKUP($D319,Insumos!$B:$U,G$1,0)/VLOOKUP($D319,Insumos!$B:$U,F$1,0),"")</f>
        <v>32</v>
      </c>
      <c r="H319" s="70">
        <f t="shared" si="66"/>
        <v>221.8666667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3">
        <f t="shared" ref="B320:C320" si="212">IF($D320="","",B319)</f>
        <v>32</v>
      </c>
      <c r="C320" s="13" t="str">
        <f t="shared" si="212"/>
        <v>Halloween</v>
      </c>
      <c r="D320" s="13" t="str">
        <f t="shared" si="210"/>
        <v>Huevo</v>
      </c>
      <c r="E320" s="13" t="str">
        <f>IFERROR(VLOOKUP($D320,Insumos!$B:$U,D$1,0),"")</f>
        <v>Unidad</v>
      </c>
      <c r="F320" s="70">
        <f t="shared" si="211"/>
        <v>0.2133333333</v>
      </c>
      <c r="G320" s="70">
        <f>IFERROR(VLOOKUP($D320,Insumos!$B:$U,G$1,0)/VLOOKUP($D320,Insumos!$B:$U,F$1,0),"")</f>
        <v>166.6666667</v>
      </c>
      <c r="H320" s="70">
        <f t="shared" si="66"/>
        <v>35.55555556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3">
        <f t="shared" ref="B321:C321" si="213">IF($D321="","",B320)</f>
        <v>32</v>
      </c>
      <c r="C321" s="13" t="str">
        <f t="shared" si="213"/>
        <v>Halloween</v>
      </c>
      <c r="D321" s="13" t="str">
        <f t="shared" si="210"/>
        <v>Azúcar impalpable</v>
      </c>
      <c r="E321" s="13" t="str">
        <f>IFERROR(VLOOKUP($D321,Insumos!$B:$U,D$1,0),"")</f>
        <v>Grs</v>
      </c>
      <c r="F321" s="70">
        <f t="shared" si="211"/>
        <v>6.933333333</v>
      </c>
      <c r="G321" s="70">
        <f>IFERROR(VLOOKUP($D321,Insumos!$B:$U,G$1,0)/VLOOKUP($D321,Insumos!$B:$U,F$1,0),"")</f>
        <v>1.5</v>
      </c>
      <c r="H321" s="70">
        <f t="shared" si="66"/>
        <v>10.4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3">
        <f t="shared" ref="B322:C322" si="214">IF($D322="","",B321)</f>
        <v>32</v>
      </c>
      <c r="C322" s="13" t="str">
        <f t="shared" si="214"/>
        <v>Halloween</v>
      </c>
      <c r="D322" s="13" t="str">
        <f t="shared" si="210"/>
        <v>Colorante</v>
      </c>
      <c r="E322" s="13" t="str">
        <f>IFERROR(VLOOKUP($D322,Insumos!$B:$U,D$1,0),"")</f>
        <v>Grs</v>
      </c>
      <c r="F322" s="70">
        <f>F16/15*4*5</f>
        <v>1.6</v>
      </c>
      <c r="G322" s="70">
        <f>IFERROR(VLOOKUP($D322,Insumos!$B:$U,G$1,0)/VLOOKUP($D322,Insumos!$B:$U,F$1,0),"")</f>
        <v>120</v>
      </c>
      <c r="H322" s="70">
        <f t="shared" si="66"/>
        <v>192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3">
        <f t="shared" ref="B323:C323" si="215">IF($D323="","",B322)</f>
        <v>32</v>
      </c>
      <c r="C323" s="13" t="str">
        <f t="shared" si="215"/>
        <v>Halloween</v>
      </c>
      <c r="D323" s="13" t="s">
        <v>541</v>
      </c>
      <c r="E323" s="13" t="str">
        <f>IFERROR(VLOOKUP($D323,Insumos!$B:$U,D$1,0),"")</f>
        <v>Grs</v>
      </c>
      <c r="F323" s="70">
        <f>8/60*4</f>
        <v>0.5333333333</v>
      </c>
      <c r="G323" s="70">
        <f>IFERROR(VLOOKUP($D323,Insumos!$B:$U,G$1,0)/VLOOKUP($D323,Insumos!$B:$U,F$1,0),"")</f>
        <v>48</v>
      </c>
      <c r="H323" s="70">
        <f t="shared" si="66"/>
        <v>25.6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3">
        <f t="shared" ref="B324:C324" si="216">IF($D324="","",B323)</f>
        <v>32</v>
      </c>
      <c r="C324" s="13" t="str">
        <f t="shared" si="216"/>
        <v>Halloween</v>
      </c>
      <c r="D324" s="13" t="str">
        <f t="shared" ref="D324:D326" si="218">D18</f>
        <v>Crema de leche</v>
      </c>
      <c r="E324" s="13" t="str">
        <f>IFERROR(VLOOKUP($D324,Insumos!$B:$U,D$1,0),"")</f>
        <v>Grs</v>
      </c>
      <c r="F324" s="70">
        <f t="shared" ref="F324:F325" si="219">F18/15*4</f>
        <v>10.66666667</v>
      </c>
      <c r="G324" s="70">
        <f>IFERROR(VLOOKUP($D324,Insumos!$B:$U,G$1,0)/VLOOKUP($D324,Insumos!$B:$U,F$1,0),"")</f>
        <v>9.2</v>
      </c>
      <c r="H324" s="70">
        <f t="shared" si="66"/>
        <v>98.13333333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3">
        <f t="shared" ref="B325:C325" si="217">IF($D325="","",B324)</f>
        <v>32</v>
      </c>
      <c r="C325" s="13" t="str">
        <f t="shared" si="217"/>
        <v>Halloween</v>
      </c>
      <c r="D325" s="13" t="str">
        <f t="shared" si="218"/>
        <v>Chocolate</v>
      </c>
      <c r="E325" s="13" t="str">
        <f>IFERROR(VLOOKUP($D325,Insumos!$B:$U,D$1,0),"")</f>
        <v>Grs</v>
      </c>
      <c r="F325" s="70">
        <f t="shared" si="219"/>
        <v>10.66666667</v>
      </c>
      <c r="G325" s="70">
        <f>IFERROR(VLOOKUP($D325,Insumos!$B:$U,G$1,0)/VLOOKUP($D325,Insumos!$B:$U,F$1,0),"")</f>
        <v>10</v>
      </c>
      <c r="H325" s="70">
        <f t="shared" si="66"/>
        <v>106.6666667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3">
        <f t="shared" ref="B326:C326" si="220">IF($D326="","",B325)</f>
        <v>32</v>
      </c>
      <c r="C326" s="13" t="str">
        <f t="shared" si="220"/>
        <v>Halloween</v>
      </c>
      <c r="D326" s="13" t="str">
        <f t="shared" si="218"/>
        <v>Mangas descartables N°4</v>
      </c>
      <c r="E326" s="13" t="str">
        <f>IFERROR(VLOOKUP($D326,Insumos!$B:$U,D$1,0),"")</f>
        <v>Unidad</v>
      </c>
      <c r="F326" s="70">
        <f>F20</f>
        <v>2</v>
      </c>
      <c r="G326" s="70">
        <f>IFERROR(VLOOKUP($D326,Insumos!$B:$U,G$1,0)/VLOOKUP($D326,Insumos!$B:$U,F$1,0),"")</f>
        <v>400</v>
      </c>
      <c r="H326" s="70">
        <f t="shared" si="66"/>
        <v>800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3">
        <f t="shared" ref="B327:C327" si="221">IF($D327="","",B326)</f>
        <v>32</v>
      </c>
      <c r="C327" s="13" t="str">
        <f t="shared" si="221"/>
        <v>Halloween</v>
      </c>
      <c r="D327" s="13" t="s">
        <v>454</v>
      </c>
      <c r="E327" s="13" t="str">
        <f>IFERROR(VLOOKUP($D327,Insumos!$B:$U,D$1,0),"")</f>
        <v>Grs</v>
      </c>
      <c r="F327" s="70">
        <v>100.0</v>
      </c>
      <c r="G327" s="70">
        <f>IFERROR(VLOOKUP($D327,Insumos!$B:$U,G$1,0)/VLOOKUP($D327,Insumos!$B:$U,F$1,0),"")</f>
        <v>10</v>
      </c>
      <c r="H327" s="70">
        <f t="shared" si="66"/>
        <v>1000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3">
        <f t="shared" ref="B328:C328" si="222">IF($D328="","",B327)</f>
        <v>32</v>
      </c>
      <c r="C328" s="13" t="str">
        <f t="shared" si="222"/>
        <v>Halloween</v>
      </c>
      <c r="D328" s="13" t="s">
        <v>395</v>
      </c>
      <c r="E328" s="13" t="str">
        <f>IFERROR(VLOOKUP($D328,Insumos!$B:$U,D$1,0),"")</f>
        <v>Grs</v>
      </c>
      <c r="F328" s="70">
        <f t="shared" ref="F328:F329" si="224">125/6*2</f>
        <v>41.66666667</v>
      </c>
      <c r="G328" s="70">
        <f>IFERROR(VLOOKUP($D328,Insumos!$B:$U,G$1,0)/VLOOKUP($D328,Insumos!$B:$U,F$1,0),"")</f>
        <v>1.4</v>
      </c>
      <c r="H328" s="70">
        <f t="shared" si="66"/>
        <v>58.33333333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3">
        <f t="shared" ref="B329:C329" si="223">IF($D329="","",B328)</f>
        <v>32</v>
      </c>
      <c r="C329" s="13" t="str">
        <f t="shared" si="223"/>
        <v>Halloween</v>
      </c>
      <c r="D329" s="13" t="s">
        <v>568</v>
      </c>
      <c r="E329" s="13" t="str">
        <f>IFERROR(VLOOKUP($D329,Insumos!$B:$U,D$1,0),"")</f>
        <v>Grs</v>
      </c>
      <c r="F329" s="70">
        <f t="shared" si="224"/>
        <v>41.66666667</v>
      </c>
      <c r="G329" s="70">
        <f>IFERROR(VLOOKUP($D329,Insumos!$B:$U,G$1,0)/VLOOKUP($D329,Insumos!$B:$U,F$1,0),"")</f>
        <v>11</v>
      </c>
      <c r="H329" s="70">
        <f t="shared" si="66"/>
        <v>458.3333333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3">
        <f t="shared" ref="B330:C330" si="225">IF($D330="","",B329)</f>
        <v>32</v>
      </c>
      <c r="C330" s="13" t="str">
        <f t="shared" si="225"/>
        <v>Halloween</v>
      </c>
      <c r="D330" s="13" t="s">
        <v>491</v>
      </c>
      <c r="E330" s="13" t="str">
        <f>IFERROR(VLOOKUP($D330,Insumos!$B:$U,D$1,0),"")</f>
        <v>Grs</v>
      </c>
      <c r="F330" s="70">
        <f>250/6*2</f>
        <v>83.33333333</v>
      </c>
      <c r="G330" s="70">
        <f>IFERROR(VLOOKUP($D330,Insumos!$B:$U,G$1,0)/VLOOKUP($D330,Insumos!$B:$U,F$1,0),"")</f>
        <v>1.5</v>
      </c>
      <c r="H330" s="70">
        <f t="shared" si="66"/>
        <v>125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3">
        <f t="shared" ref="B331:C331" si="226">IF($D331="","",B330)</f>
        <v>32</v>
      </c>
      <c r="C331" s="13" t="str">
        <f t="shared" si="226"/>
        <v>Halloween</v>
      </c>
      <c r="D331" s="13" t="s">
        <v>569</v>
      </c>
      <c r="E331" s="13" t="str">
        <f>IFERROR(VLOOKUP($D331,Insumos!$B:$U,D$1,0),"")</f>
        <v>Unidad</v>
      </c>
      <c r="F331" s="70">
        <f>2/6*2</f>
        <v>0.6666666667</v>
      </c>
      <c r="G331" s="70">
        <f>IFERROR(VLOOKUP($D331,Insumos!$B:$U,G$1,0)/VLOOKUP($D331,Insumos!$B:$U,F$1,0),"")</f>
        <v>166.6666667</v>
      </c>
      <c r="H331" s="70">
        <f t="shared" si="66"/>
        <v>111.1111111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3">
        <f t="shared" ref="B332:C332" si="227">IF($D332="","",B331)</f>
        <v>32</v>
      </c>
      <c r="C332" s="13" t="str">
        <f t="shared" si="227"/>
        <v>Halloween</v>
      </c>
      <c r="D332" s="13" t="s">
        <v>468</v>
      </c>
      <c r="E332" s="13" t="str">
        <f>IFERROR(VLOOKUP($D332,Insumos!$B:$U,D$1,0),"")</f>
        <v>Cm3</v>
      </c>
      <c r="F332" s="70">
        <v>3.0</v>
      </c>
      <c r="G332" s="70">
        <f>IFERROR(VLOOKUP($D332,Insumos!$B:$U,G$1,0)/VLOOKUP($D332,Insumos!$B:$U,F$1,0),"")</f>
        <v>1.52</v>
      </c>
      <c r="H332" s="70">
        <f t="shared" si="66"/>
        <v>4.56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3">
        <f t="shared" ref="B333:C333" si="228">IF($D333="","",B332)</f>
        <v>32</v>
      </c>
      <c r="C333" s="13" t="str">
        <f t="shared" si="228"/>
        <v>Halloween</v>
      </c>
      <c r="D333" s="13" t="s">
        <v>496</v>
      </c>
      <c r="E333" s="13" t="str">
        <f>IFERROR(VLOOKUP($D333,Insumos!$B:$U,D$1,0),"")</f>
        <v>Cm3</v>
      </c>
      <c r="F333" s="70">
        <f>150/6*2</f>
        <v>50</v>
      </c>
      <c r="G333" s="70">
        <f>IFERROR(VLOOKUP($D333,Insumos!$B:$U,G$1,0)/VLOOKUP($D333,Insumos!$B:$U,F$1,0),"")</f>
        <v>2.1</v>
      </c>
      <c r="H333" s="70">
        <f t="shared" si="66"/>
        <v>105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3">
        <f t="shared" ref="B334:C334" si="229">IF($D334="","",B333)</f>
        <v>32</v>
      </c>
      <c r="C334" s="13" t="str">
        <f t="shared" si="229"/>
        <v>Halloween</v>
      </c>
      <c r="D334" s="13" t="s">
        <v>605</v>
      </c>
      <c r="E334" s="13" t="str">
        <f>IFERROR(VLOOKUP($D334,Insumos!$B:$U,D$1,0),"")</f>
        <v>Unidad</v>
      </c>
      <c r="F334" s="70">
        <v>2.0</v>
      </c>
      <c r="G334" s="70">
        <f>IFERROR(VLOOKUP($D334,Insumos!$B:$U,G$1,0)/VLOOKUP($D334,Insumos!$B:$U,F$1,0),"")</f>
        <v>208.3333333</v>
      </c>
      <c r="H334" s="70">
        <f t="shared" si="66"/>
        <v>416.6666667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3">
        <f t="shared" ref="B335:C335" si="230">IF($D335="","",B334)</f>
        <v>32</v>
      </c>
      <c r="C335" s="13" t="str">
        <f t="shared" si="230"/>
        <v>Halloween</v>
      </c>
      <c r="D335" s="13" t="s">
        <v>466</v>
      </c>
      <c r="E335" s="13" t="str">
        <f>IFERROR(VLOOKUP($D335,Insumos!$B:$U,D$1,0),"")</f>
        <v>Grs</v>
      </c>
      <c r="F335" s="70">
        <v>250.0</v>
      </c>
      <c r="G335" s="70">
        <f>IFERROR(VLOOKUP($D335,Insumos!$B:$U,G$1,0)/VLOOKUP($D335,Insumos!$B:$U,F$1,0),"")</f>
        <v>3.4</v>
      </c>
      <c r="H335" s="70">
        <f t="shared" si="66"/>
        <v>850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3">
        <f t="shared" ref="B336:C336" si="231">IF($D336="","",B335)</f>
        <v>32</v>
      </c>
      <c r="C336" s="13" t="str">
        <f t="shared" si="231"/>
        <v>Halloween</v>
      </c>
      <c r="D336" s="13" t="s">
        <v>428</v>
      </c>
      <c r="E336" s="13" t="str">
        <f>IFERROR(VLOOKUP($D336,Insumos!$B:$U,D$1,0),"")</f>
        <v>Unidad</v>
      </c>
      <c r="F336" s="70">
        <v>1.0</v>
      </c>
      <c r="G336" s="70">
        <f>IFERROR(VLOOKUP($D336,Insumos!$B:$U,G$1,0)/VLOOKUP($D336,Insumos!$B:$U,F$1,0),"")</f>
        <v>436</v>
      </c>
      <c r="H336" s="70">
        <f t="shared" si="66"/>
        <v>436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81">
        <f>IF($D337="","",B336)</f>
        <v>32</v>
      </c>
      <c r="C337" s="81" t="s">
        <v>604</v>
      </c>
      <c r="D337" s="81" t="s">
        <v>484</v>
      </c>
      <c r="E337" s="81" t="str">
        <f>IFERROR(VLOOKUP($D337,Insumos!$B:$U,D$1,0),"")</f>
        <v>Unidad</v>
      </c>
      <c r="F337" s="82">
        <v>1.0</v>
      </c>
      <c r="G337" s="82">
        <f>IFERROR(VLOOKUP($D337,Insumos!$B:$U,G$1,0)/VLOOKUP($D337,Insumos!$B:$U,F$1,0),"")</f>
        <v>37</v>
      </c>
      <c r="H337" s="82">
        <f t="shared" si="66"/>
        <v>37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3">
        <v>33.0</v>
      </c>
      <c r="C338" s="13" t="s">
        <v>123</v>
      </c>
      <c r="D338" s="13" t="s">
        <v>606</v>
      </c>
      <c r="E338" s="13" t="str">
        <f>IFERROR(VLOOKUP($D338,Insumos!$B:$U,D$1,0),"")</f>
        <v>Unidad</v>
      </c>
      <c r="F338" s="70">
        <v>1.0</v>
      </c>
      <c r="G338" s="70">
        <f>IFERROR(VLOOKUP($D338,Insumos!$B:$U,G$1,0)/VLOOKUP($D338,Insumos!$B:$U,F$1,0),"")</f>
        <v>13</v>
      </c>
      <c r="H338" s="70">
        <f t="shared" si="66"/>
        <v>13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3">
        <f t="shared" ref="B339:C339" si="232">IF($D339="","",B338)</f>
        <v>33</v>
      </c>
      <c r="C339" s="13" t="str">
        <f t="shared" si="232"/>
        <v>Frambuesas Grandes</v>
      </c>
      <c r="D339" s="13" t="s">
        <v>469</v>
      </c>
      <c r="E339" s="13" t="str">
        <f>IFERROR(VLOOKUP($D339,Insumos!$B:$U,D$1,0),"")</f>
        <v>Unidad</v>
      </c>
      <c r="F339" s="70">
        <v>1.0</v>
      </c>
      <c r="G339" s="70">
        <f>IFERROR(VLOOKUP($D339,Insumos!$B:$U,G$1,0)/VLOOKUP($D339,Insumos!$B:$U,F$1,0),"")</f>
        <v>1.666666667</v>
      </c>
      <c r="H339" s="70">
        <f t="shared" si="66"/>
        <v>1.666666667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3">
        <f t="shared" ref="B340:C340" si="233">IF($D340="","",B339)</f>
        <v>33</v>
      </c>
      <c r="C340" s="13" t="str">
        <f t="shared" si="233"/>
        <v>Frambuesas Grandes</v>
      </c>
      <c r="D340" s="13" t="s">
        <v>477</v>
      </c>
      <c r="E340" s="13" t="str">
        <f>IFERROR(VLOOKUP($D340,Insumos!$B:$U,D$1,0),"")</f>
        <v>Grs</v>
      </c>
      <c r="F340" s="70">
        <v>80.0</v>
      </c>
      <c r="G340" s="70">
        <f>IFERROR(VLOOKUP($D340,Insumos!$B:$U,G$1,0)/VLOOKUP($D340,Insumos!$B:$U,F$1,0),"")</f>
        <v>1.2</v>
      </c>
      <c r="H340" s="70">
        <f t="shared" si="66"/>
        <v>96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81">
        <f t="shared" ref="B341:C341" si="234">IF($D341="","",B340)</f>
        <v>33</v>
      </c>
      <c r="C341" s="81" t="str">
        <f t="shared" si="234"/>
        <v>Frambuesas Grandes</v>
      </c>
      <c r="D341" s="81" t="s">
        <v>454</v>
      </c>
      <c r="E341" s="81" t="s">
        <v>392</v>
      </c>
      <c r="F341" s="82">
        <v>26.0</v>
      </c>
      <c r="G341" s="82">
        <f>IFERROR(VLOOKUP($D341,Insumos!$B:$U,G$1,0)/VLOOKUP($D341,Insumos!$B:$U,F$1,0),"")</f>
        <v>10</v>
      </c>
      <c r="H341" s="82">
        <f t="shared" si="66"/>
        <v>260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3">
        <v>34.0</v>
      </c>
      <c r="C342" s="13" t="s">
        <v>607</v>
      </c>
      <c r="D342" s="13" t="s">
        <v>530</v>
      </c>
      <c r="E342" s="13" t="str">
        <f>IFERROR(VLOOKUP($D342,Insumos!$B:$U,D$1,0),"")</f>
        <v>Unidad</v>
      </c>
      <c r="F342" s="70">
        <v>1.0</v>
      </c>
      <c r="G342" s="70">
        <f>IFERROR(VLOOKUP($D342,Insumos!$B:$U,G$1,0)/VLOOKUP($D342,Insumos!$B:$U,F$1,0),"")</f>
        <v>11</v>
      </c>
      <c r="H342" s="70">
        <f t="shared" si="66"/>
        <v>11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3">
        <f t="shared" ref="B343:C343" si="235">IF($D343="","",B342)</f>
        <v>34</v>
      </c>
      <c r="C343" s="13" t="str">
        <f t="shared" si="235"/>
        <v>Frambuesas chicas</v>
      </c>
      <c r="D343" s="13" t="s">
        <v>469</v>
      </c>
      <c r="E343" s="13" t="str">
        <f>IFERROR(VLOOKUP($D343,Insumos!$B:$U,D$1,0),"")</f>
        <v>Unidad</v>
      </c>
      <c r="F343" s="70">
        <v>1.0</v>
      </c>
      <c r="G343" s="70">
        <f>IFERROR(VLOOKUP($D343,Insumos!$B:$U,G$1,0)/VLOOKUP($D343,Insumos!$B:$U,F$1,0),"")</f>
        <v>1.666666667</v>
      </c>
      <c r="H343" s="70">
        <f t="shared" si="66"/>
        <v>1.666666667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3">
        <f t="shared" ref="B344:C344" si="236">IF($D344="","",B343)</f>
        <v>34</v>
      </c>
      <c r="C344" s="13" t="str">
        <f t="shared" si="236"/>
        <v>Frambuesas chicas</v>
      </c>
      <c r="D344" s="13" t="s">
        <v>608</v>
      </c>
      <c r="E344" s="13" t="str">
        <f>IFERROR(VLOOKUP($D344,Insumos!$B:$U,D$1,0),"")</f>
        <v>Grs</v>
      </c>
      <c r="F344" s="70">
        <v>40.0</v>
      </c>
      <c r="G344" s="70">
        <f>IFERROR(VLOOKUP($D344,Insumos!$B:$U,G$1,0)/VLOOKUP($D344,Insumos!$B:$U,F$1,0),"")</f>
        <v>1.2</v>
      </c>
      <c r="H344" s="70">
        <f t="shared" si="66"/>
        <v>48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81">
        <f t="shared" ref="B345:C345" si="237">IF($D345="","",B344)</f>
        <v>34</v>
      </c>
      <c r="C345" s="81" t="str">
        <f t="shared" si="237"/>
        <v>Frambuesas chicas</v>
      </c>
      <c r="D345" s="81" t="s">
        <v>454</v>
      </c>
      <c r="E345" s="81" t="str">
        <f>IFERROR(VLOOKUP($D345,Insumos!$B:$U,D$1,0),"")</f>
        <v>Grs</v>
      </c>
      <c r="F345" s="82">
        <v>13.0</v>
      </c>
      <c r="G345" s="82">
        <f>IFERROR(VLOOKUP($D345,Insumos!$B:$U,G$1,0)/VLOOKUP($D345,Insumos!$B:$U,F$1,0),"")</f>
        <v>10</v>
      </c>
      <c r="H345" s="82">
        <f t="shared" si="66"/>
        <v>130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3">
        <v>35.0</v>
      </c>
      <c r="C346" s="13" t="s">
        <v>609</v>
      </c>
      <c r="D346" s="13" t="s">
        <v>427</v>
      </c>
      <c r="E346" s="13" t="str">
        <f>IFERROR(VLOOKUP($D346,Insumos!$B:$U,D$1,0),"")</f>
        <v>Unidad</v>
      </c>
      <c r="F346" s="70">
        <v>1.0</v>
      </c>
      <c r="G346" s="70">
        <f>IFERROR(VLOOKUP($D346,Insumos!$B:$U,G$1,0)/VLOOKUP($D346,Insumos!$B:$U,F$1,0),"")</f>
        <v>358</v>
      </c>
      <c r="H346" s="70">
        <f t="shared" si="66"/>
        <v>358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3">
        <f t="shared" ref="B347:C347" si="238">IF($D347="","",B346)</f>
        <v>35</v>
      </c>
      <c r="C347" s="13" t="str">
        <f t="shared" si="238"/>
        <v>desayuno completo</v>
      </c>
      <c r="D347" s="13" t="s">
        <v>522</v>
      </c>
      <c r="E347" s="13" t="str">
        <f>IFERROR(VLOOKUP($D347,Insumos!$B:$U,D$1,0),"")</f>
        <v>Unidad</v>
      </c>
      <c r="F347" s="70">
        <v>1.0</v>
      </c>
      <c r="G347" s="70">
        <f>IFERROR(VLOOKUP($D347,Insumos!$B:$U,G$1,0)/VLOOKUP($D347,Insumos!$B:$U,F$1,0),"")</f>
        <v>11</v>
      </c>
      <c r="H347" s="70">
        <f t="shared" si="66"/>
        <v>11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3">
        <f t="shared" ref="B348:C348" si="239">IF($D348="","",B347)</f>
        <v>35</v>
      </c>
      <c r="C348" s="13" t="str">
        <f t="shared" si="239"/>
        <v>desayuno completo</v>
      </c>
      <c r="D348" s="13" t="s">
        <v>610</v>
      </c>
      <c r="E348" s="13" t="str">
        <f>IFERROR(VLOOKUP($D348,Insumos!$B:$U,D$1,0),"")</f>
        <v>Unidad</v>
      </c>
      <c r="F348" s="70">
        <v>6.0</v>
      </c>
      <c r="G348" s="70">
        <f>IFERROR(VLOOKUP($D348,Insumos!$B:$U,G$1,0)/VLOOKUP($D348,Insumos!$B:$U,F$1,0),"")</f>
        <v>1.666666667</v>
      </c>
      <c r="H348" s="70">
        <f t="shared" si="66"/>
        <v>10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3">
        <f t="shared" ref="B349:C349" si="240">IF($D349="","",B348)</f>
        <v>35</v>
      </c>
      <c r="C349" s="13" t="str">
        <f t="shared" si="240"/>
        <v>desayuno completo</v>
      </c>
      <c r="D349" s="13" t="s">
        <v>611</v>
      </c>
      <c r="E349" s="13" t="str">
        <f>IFERROR(VLOOKUP($D349,Insumos!$B:$U,D$1,0),"")</f>
        <v>Unidad</v>
      </c>
      <c r="F349" s="70">
        <v>3.0</v>
      </c>
      <c r="G349" s="70">
        <f>IFERROR(VLOOKUP($D349,Insumos!$B:$U,G$1,0)/VLOOKUP($D349,Insumos!$B:$U,F$1,0),"")</f>
        <v>15</v>
      </c>
      <c r="H349" s="70">
        <f t="shared" si="66"/>
        <v>45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3">
        <f t="shared" ref="B350:B363" si="241">IF($D350="","",B349)</f>
        <v>35</v>
      </c>
      <c r="C350" s="13" t="s">
        <v>609</v>
      </c>
      <c r="D350" s="13" t="s">
        <v>505</v>
      </c>
      <c r="E350" s="13" t="str">
        <f>IFERROR(VLOOKUP($D350,Insumos!$B:$U,D$1,0),"")</f>
        <v>Grs</v>
      </c>
      <c r="F350" s="70">
        <v>14.0</v>
      </c>
      <c r="G350" s="70">
        <f>IFERROR(VLOOKUP($D350,Insumos!$B:$U,G$1,0)/VLOOKUP($D350,Insumos!$B:$U,F$1,0),"")</f>
        <v>11</v>
      </c>
      <c r="H350" s="70">
        <f t="shared" si="66"/>
        <v>154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3">
        <f t="shared" si="241"/>
        <v>35</v>
      </c>
      <c r="C351" s="13" t="str">
        <f t="shared" ref="C351:C354" si="242">IF($D351="","",C350)</f>
        <v>desayuno completo</v>
      </c>
      <c r="D351" s="13" t="s">
        <v>492</v>
      </c>
      <c r="E351" s="13" t="str">
        <f>IFERROR(VLOOKUP($D351,Insumos!$B:$U,D$1,0),"")</f>
        <v>Unidad</v>
      </c>
      <c r="F351" s="70">
        <v>1.0</v>
      </c>
      <c r="G351" s="70">
        <f>IFERROR(VLOOKUP($D351,Insumos!$B:$U,G$1,0)/VLOOKUP($D351,Insumos!$B:$U,F$1,0),"")</f>
        <v>166.6666667</v>
      </c>
      <c r="H351" s="70">
        <f t="shared" si="66"/>
        <v>166.6666667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3">
        <f t="shared" si="241"/>
        <v>35</v>
      </c>
      <c r="C352" s="13" t="str">
        <f t="shared" si="242"/>
        <v>desayuno completo</v>
      </c>
      <c r="D352" s="13" t="s">
        <v>496</v>
      </c>
      <c r="E352" s="13" t="str">
        <f>IFERROR(VLOOKUP($D352,Insumos!$B:$U,D$1,0),"")</f>
        <v>Cm3</v>
      </c>
      <c r="F352" s="70">
        <v>10.0</v>
      </c>
      <c r="G352" s="70">
        <f>IFERROR(VLOOKUP($D352,Insumos!$B:$U,G$1,0)/VLOOKUP($D352,Insumos!$B:$U,F$1,0),"")</f>
        <v>2.1</v>
      </c>
      <c r="H352" s="70">
        <f t="shared" si="66"/>
        <v>21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3">
        <f t="shared" si="241"/>
        <v>35</v>
      </c>
      <c r="C353" s="13" t="str">
        <f t="shared" si="242"/>
        <v>desayuno completo</v>
      </c>
      <c r="D353" s="13" t="s">
        <v>600</v>
      </c>
      <c r="E353" s="13" t="str">
        <f>IFERROR(VLOOKUP($D353,Insumos!$B:$U,D$1,0),"")</f>
        <v>Grs</v>
      </c>
      <c r="F353" s="70">
        <v>25.0</v>
      </c>
      <c r="G353" s="70">
        <f>IFERROR(VLOOKUP($D353,Insumos!$B:$U,G$1,0)/VLOOKUP($D353,Insumos!$B:$U,F$1,0),"")</f>
        <v>18</v>
      </c>
      <c r="H353" s="70">
        <f t="shared" si="66"/>
        <v>450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3">
        <f t="shared" si="241"/>
        <v>35</v>
      </c>
      <c r="C354" s="13" t="str">
        <f t="shared" si="242"/>
        <v>desayuno completo</v>
      </c>
      <c r="D354" s="13" t="s">
        <v>473</v>
      </c>
      <c r="E354" s="13" t="str">
        <f>IFERROR(VLOOKUP($D354,Insumos!$B:$U,D$1,0),"")</f>
        <v>Grs</v>
      </c>
      <c r="F354" s="70">
        <v>45.0</v>
      </c>
      <c r="G354" s="70">
        <f>IFERROR(VLOOKUP($D354,Insumos!$B:$U,G$1,0)/VLOOKUP($D354,Insumos!$B:$U,F$1,0),"")</f>
        <v>3.5</v>
      </c>
      <c r="H354" s="70">
        <f t="shared" si="66"/>
        <v>157.5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3">
        <f t="shared" si="241"/>
        <v>35</v>
      </c>
      <c r="C355" s="13" t="s">
        <v>609</v>
      </c>
      <c r="D355" s="13" t="s">
        <v>505</v>
      </c>
      <c r="E355" s="13" t="str">
        <f>IFERROR(VLOOKUP($D355,Insumos!$B:$U,D$1,0),"")</f>
        <v>Grs</v>
      </c>
      <c r="F355" s="70">
        <v>18.0</v>
      </c>
      <c r="G355" s="70">
        <f>IFERROR(VLOOKUP($D355,Insumos!$B:$U,G$1,0)/VLOOKUP($D355,Insumos!$B:$U,F$1,0),"")</f>
        <v>11</v>
      </c>
      <c r="H355" s="70">
        <f t="shared" si="66"/>
        <v>198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3">
        <f t="shared" si="241"/>
        <v>35</v>
      </c>
      <c r="C356" s="13" t="str">
        <f t="shared" ref="C356:C363" si="243">IF($D356="","",C355)</f>
        <v>desayuno completo</v>
      </c>
      <c r="D356" s="13" t="s">
        <v>395</v>
      </c>
      <c r="E356" s="13" t="str">
        <f>IFERROR(VLOOKUP($D356,Insumos!$B:$U,D$1,0),"")</f>
        <v>Grs</v>
      </c>
      <c r="F356" s="70">
        <v>38.0</v>
      </c>
      <c r="G356" s="70">
        <f>IFERROR(VLOOKUP($D356,Insumos!$B:$U,G$1,0)/VLOOKUP($D356,Insumos!$B:$U,F$1,0),"")</f>
        <v>1.4</v>
      </c>
      <c r="H356" s="70">
        <f t="shared" si="66"/>
        <v>53.2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3">
        <f t="shared" si="241"/>
        <v>35</v>
      </c>
      <c r="C357" s="13" t="str">
        <f t="shared" si="243"/>
        <v>desayuno completo</v>
      </c>
      <c r="D357" s="13" t="s">
        <v>492</v>
      </c>
      <c r="E357" s="13" t="str">
        <f>IFERROR(VLOOKUP($D357,Insumos!$B:$U,D$1,0),"")</f>
        <v>Unidad</v>
      </c>
      <c r="F357" s="70">
        <v>1.0</v>
      </c>
      <c r="G357" s="70">
        <f>IFERROR(VLOOKUP($D357,Insumos!$B:$U,G$1,0)/VLOOKUP($D357,Insumos!$B:$U,F$1,0),"")</f>
        <v>166.6666667</v>
      </c>
      <c r="H357" s="70">
        <f t="shared" si="66"/>
        <v>166.6666667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3">
        <f t="shared" si="241"/>
        <v>35</v>
      </c>
      <c r="C358" s="13" t="str">
        <f t="shared" si="243"/>
        <v>desayuno completo</v>
      </c>
      <c r="D358" s="13" t="s">
        <v>454</v>
      </c>
      <c r="E358" s="13" t="str">
        <f>IFERROR(VLOOKUP($D358,Insumos!$B:$U,D$1,0),"")</f>
        <v>Grs</v>
      </c>
      <c r="F358" s="70">
        <v>37.0</v>
      </c>
      <c r="G358" s="70">
        <f>IFERROR(VLOOKUP($D358,Insumos!$B:$U,G$1,0)/VLOOKUP($D358,Insumos!$B:$U,F$1,0),"")</f>
        <v>10</v>
      </c>
      <c r="H358" s="70">
        <f t="shared" si="66"/>
        <v>370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3">
        <f t="shared" si="241"/>
        <v>35</v>
      </c>
      <c r="C359" s="13" t="str">
        <f t="shared" si="243"/>
        <v>desayuno completo</v>
      </c>
      <c r="D359" s="13" t="s">
        <v>422</v>
      </c>
      <c r="E359" s="13" t="str">
        <f>IFERROR(VLOOKUP($D359,Insumos!$B:$U,D$1,0),"")</f>
        <v>Grs</v>
      </c>
      <c r="F359" s="70">
        <v>4.0</v>
      </c>
      <c r="G359" s="70">
        <f>IFERROR(VLOOKUP($D359,Insumos!$B:$U,G$1,0)/VLOOKUP($D359,Insumos!$B:$U,F$1,0),"")</f>
        <v>36.11111111</v>
      </c>
      <c r="H359" s="70">
        <f t="shared" si="66"/>
        <v>144.4444444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3">
        <f t="shared" si="241"/>
        <v>35</v>
      </c>
      <c r="C360" s="13" t="str">
        <f t="shared" si="243"/>
        <v>desayuno completo</v>
      </c>
      <c r="D360" s="13" t="s">
        <v>489</v>
      </c>
      <c r="E360" s="13" t="str">
        <f>IFERROR(VLOOKUP($D360,Insumos!$B:$U,D$1,0),"")</f>
        <v>Grs</v>
      </c>
      <c r="F360" s="70">
        <v>22.0</v>
      </c>
      <c r="G360" s="70">
        <f>IFERROR(VLOOKUP($D360,Insumos!$B:$U,G$1,0)/VLOOKUP($D360,Insumos!$B:$U,F$1,0),"")</f>
        <v>0.82</v>
      </c>
      <c r="H360" s="70">
        <f t="shared" si="66"/>
        <v>18.04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3">
        <f t="shared" si="241"/>
        <v>35</v>
      </c>
      <c r="C361" s="13" t="str">
        <f t="shared" si="243"/>
        <v>desayuno completo</v>
      </c>
      <c r="D361" s="13" t="s">
        <v>516</v>
      </c>
      <c r="E361" s="13" t="str">
        <f>IFERROR(VLOOKUP($D361,Insumos!$B:$U,D$1,0),"")</f>
        <v>Grs</v>
      </c>
      <c r="F361" s="70">
        <v>30.0</v>
      </c>
      <c r="G361" s="70">
        <f>IFERROR(VLOOKUP($D361,Insumos!$B:$U,G$1,0)/VLOOKUP($D361,Insumos!$B:$U,F$1,0),"")</f>
        <v>19</v>
      </c>
      <c r="H361" s="70">
        <f t="shared" si="66"/>
        <v>570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3">
        <f t="shared" si="241"/>
        <v>35</v>
      </c>
      <c r="C362" s="13" t="str">
        <f t="shared" si="243"/>
        <v>desayuno completo</v>
      </c>
      <c r="D362" s="13" t="s">
        <v>395</v>
      </c>
      <c r="E362" s="13" t="str">
        <f>IFERROR(VLOOKUP($D362,Insumos!$B:$U,D$1,0),"")</f>
        <v>Grs</v>
      </c>
      <c r="F362" s="70">
        <v>50.0</v>
      </c>
      <c r="G362" s="70">
        <f>IFERROR(VLOOKUP($D362,Insumos!$B:$U,G$1,0)/VLOOKUP($D362,Insumos!$B:$U,F$1,0),"")</f>
        <v>1.4</v>
      </c>
      <c r="H362" s="70">
        <f t="shared" si="66"/>
        <v>70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109"/>
      <c r="U362" s="109"/>
      <c r="V362" s="109"/>
      <c r="W362" s="109"/>
      <c r="X362" s="109"/>
      <c r="Y362" s="109"/>
      <c r="Z362" s="109"/>
    </row>
    <row r="363" ht="12.75" customHeight="1">
      <c r="A363" s="2"/>
      <c r="B363" s="13">
        <f t="shared" si="241"/>
        <v>35</v>
      </c>
      <c r="C363" s="13" t="str">
        <f t="shared" si="243"/>
        <v>desayuno completo</v>
      </c>
      <c r="D363" s="13" t="s">
        <v>505</v>
      </c>
      <c r="E363" s="13" t="str">
        <f>IFERROR(VLOOKUP($D363,Insumos!$B:$U,D$1,0),"")</f>
        <v>Grs</v>
      </c>
      <c r="F363" s="70">
        <v>50.0</v>
      </c>
      <c r="G363" s="70">
        <f>IFERROR(VLOOKUP($D363,Insumos!$B:$U,G$1,0)/VLOOKUP($D363,Insumos!$B:$U,F$1,0),"")</f>
        <v>11</v>
      </c>
      <c r="H363" s="70">
        <f t="shared" si="66"/>
        <v>550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109"/>
      <c r="U363" s="109"/>
      <c r="V363" s="109"/>
      <c r="W363" s="109"/>
      <c r="X363" s="109"/>
      <c r="Y363" s="109"/>
      <c r="Z363" s="109"/>
    </row>
    <row r="364" ht="12.75" customHeight="1">
      <c r="A364" s="2"/>
      <c r="B364" s="13">
        <v>35.0</v>
      </c>
      <c r="C364" s="13" t="s">
        <v>609</v>
      </c>
      <c r="D364" s="13" t="s">
        <v>500</v>
      </c>
      <c r="E364" s="13" t="str">
        <f>IFERROR(VLOOKUP($D364,Insumos!$B:$U,D$1,0),"")</f>
        <v>Unidad</v>
      </c>
      <c r="F364" s="70">
        <v>1.0</v>
      </c>
      <c r="G364" s="70">
        <f>IFERROR(VLOOKUP($D364,Insumos!$B:$U,G$1,0)/VLOOKUP($D364,Insumos!$B:$U,F$1,0),"")</f>
        <v>180</v>
      </c>
      <c r="H364" s="70">
        <f t="shared" si="66"/>
        <v>180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109"/>
      <c r="U364" s="109"/>
      <c r="V364" s="109"/>
      <c r="W364" s="109"/>
      <c r="X364" s="109"/>
      <c r="Y364" s="109"/>
      <c r="Z364" s="109"/>
    </row>
    <row r="365" ht="12.75" customHeight="1">
      <c r="A365" s="2"/>
      <c r="B365" s="13">
        <v>35.0</v>
      </c>
      <c r="C365" s="13" t="s">
        <v>609</v>
      </c>
      <c r="D365" s="13" t="s">
        <v>492</v>
      </c>
      <c r="E365" s="13" t="str">
        <f>IFERROR(VLOOKUP($D365,Insumos!$B:$U,D$1,0),"")</f>
        <v>Unidad</v>
      </c>
      <c r="F365" s="70">
        <v>1.0</v>
      </c>
      <c r="G365" s="70">
        <f>IFERROR(VLOOKUP($D365,Insumos!$B:$U,G$1,0)/VLOOKUP($D365,Insumos!$B:$U,F$1,0),"")</f>
        <v>166.6666667</v>
      </c>
      <c r="H365" s="70">
        <f t="shared" si="66"/>
        <v>166.6666667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109"/>
      <c r="U365" s="109"/>
      <c r="V365" s="109"/>
      <c r="W365" s="109"/>
      <c r="X365" s="109"/>
      <c r="Y365" s="109"/>
      <c r="Z365" s="109"/>
    </row>
    <row r="366" ht="12.75" customHeight="1">
      <c r="A366" s="2"/>
      <c r="B366" s="13">
        <v>35.0</v>
      </c>
      <c r="C366" s="13" t="s">
        <v>609</v>
      </c>
      <c r="D366" s="13" t="s">
        <v>489</v>
      </c>
      <c r="E366" s="13" t="str">
        <f>IFERROR(VLOOKUP($D366,Insumos!$B:$U,D$1,0),"")</f>
        <v>Grs</v>
      </c>
      <c r="F366" s="70">
        <v>67.5</v>
      </c>
      <c r="G366" s="70">
        <f>IFERROR(VLOOKUP($D366,Insumos!$B:$U,G$1,0)/VLOOKUP($D366,Insumos!$B:$U,F$1,0),"")</f>
        <v>0.82</v>
      </c>
      <c r="H366" s="70">
        <f t="shared" si="66"/>
        <v>55.35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109"/>
      <c r="U366" s="109"/>
      <c r="V366" s="109"/>
      <c r="W366" s="109"/>
      <c r="X366" s="109"/>
      <c r="Y366" s="109"/>
      <c r="Z366" s="109"/>
    </row>
    <row r="367" ht="12.75" customHeight="1">
      <c r="A367" s="2"/>
      <c r="B367" s="13">
        <v>35.0</v>
      </c>
      <c r="C367" s="13" t="str">
        <f>IF($D367="","",C366)</f>
        <v>desayuno completo</v>
      </c>
      <c r="D367" s="13" t="s">
        <v>568</v>
      </c>
      <c r="E367" s="13" t="str">
        <f>IFERROR(VLOOKUP($D367,Insumos!$B:$U,D$1,0),"")</f>
        <v>Grs</v>
      </c>
      <c r="F367" s="70">
        <v>33.0</v>
      </c>
      <c r="G367" s="70">
        <f>IFERROR(VLOOKUP($D367,Insumos!$B:$U,G$1,0)/VLOOKUP($D367,Insumos!$B:$U,F$1,0),"")</f>
        <v>11</v>
      </c>
      <c r="H367" s="70">
        <f t="shared" si="66"/>
        <v>363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3">
        <f t="shared" ref="B368:C368" si="244">IF($D368="","",B367)</f>
        <v>35</v>
      </c>
      <c r="C368" s="13" t="str">
        <f t="shared" si="244"/>
        <v>desayuno completo</v>
      </c>
      <c r="D368" s="13" t="s">
        <v>597</v>
      </c>
      <c r="E368" s="13" t="s">
        <v>392</v>
      </c>
      <c r="F368" s="70">
        <v>100.0</v>
      </c>
      <c r="G368" s="70">
        <f>IFERROR(VLOOKUP($D368,Insumos!$B:$U,G$1,0)/VLOOKUP($D368,Insumos!$B:$U,F$1,0),"")</f>
        <v>1.5</v>
      </c>
      <c r="H368" s="70">
        <f t="shared" si="66"/>
        <v>150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3">
        <f t="shared" ref="B369:C369" si="245">IF($D369="","",B368)</f>
        <v>35</v>
      </c>
      <c r="C369" s="13" t="str">
        <f t="shared" si="245"/>
        <v>desayuno completo</v>
      </c>
      <c r="D369" s="13" t="s">
        <v>492</v>
      </c>
      <c r="E369" s="13" t="s">
        <v>385</v>
      </c>
      <c r="F369" s="70">
        <v>1.0</v>
      </c>
      <c r="G369" s="70">
        <f>IFERROR(VLOOKUP($D369,Insumos!$B:$U,G$1,0)/VLOOKUP($D369,Insumos!$B:$U,F$1,0),"")</f>
        <v>166.6666667</v>
      </c>
      <c r="H369" s="70">
        <f t="shared" si="66"/>
        <v>166.6666667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3">
        <f t="shared" ref="B370:C370" si="246">IF($D370="","",B369)</f>
        <v>35</v>
      </c>
      <c r="C370" s="13" t="str">
        <f t="shared" si="246"/>
        <v>desayuno completo</v>
      </c>
      <c r="D370" s="13" t="s">
        <v>468</v>
      </c>
      <c r="E370" s="13" t="str">
        <f>IFERROR(VLOOKUP($D370,Insumos!$B:$U,D$1,0),"")</f>
        <v>Cm3</v>
      </c>
      <c r="F370" s="70">
        <v>10.0</v>
      </c>
      <c r="G370" s="70">
        <f>IFERROR(VLOOKUP($D370,Insumos!$B:$U,G$1,0)/VLOOKUP($D370,Insumos!$B:$U,F$1,0),"")</f>
        <v>1.52</v>
      </c>
      <c r="H370" s="70">
        <f t="shared" si="66"/>
        <v>15.2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3">
        <f t="shared" ref="B371:C371" si="247">IF($D371="","",B370)</f>
        <v>35</v>
      </c>
      <c r="C371" s="13" t="str">
        <f t="shared" si="247"/>
        <v>desayuno completo</v>
      </c>
      <c r="D371" s="13" t="s">
        <v>489</v>
      </c>
      <c r="E371" s="13" t="str">
        <f>IFERROR(VLOOKUP($D371,Insumos!$B:$U,D$1,0),"")</f>
        <v>Grs</v>
      </c>
      <c r="F371" s="70">
        <v>60.0</v>
      </c>
      <c r="G371" s="70">
        <f>IFERROR(VLOOKUP($D371,Insumos!$B:$U,G$1,0)/VLOOKUP($D371,Insumos!$B:$U,F$1,0),"")</f>
        <v>0.82</v>
      </c>
      <c r="H371" s="70">
        <f t="shared" si="66"/>
        <v>49.2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3">
        <f t="shared" ref="B372:C372" si="248">IF($D372="","",B371)</f>
        <v>35</v>
      </c>
      <c r="C372" s="13" t="str">
        <f t="shared" si="248"/>
        <v>desayuno completo</v>
      </c>
      <c r="D372" s="13" t="s">
        <v>505</v>
      </c>
      <c r="E372" s="13" t="str">
        <f>IFERROR(VLOOKUP($D372,Insumos!$B:$U,D$1,0),"")</f>
        <v>Grs</v>
      </c>
      <c r="F372" s="70">
        <v>41.0</v>
      </c>
      <c r="G372" s="70">
        <f>IFERROR(VLOOKUP($D372,Insumos!$B:$U,G$1,0)/VLOOKUP($D372,Insumos!$B:$U,F$1,0),"")</f>
        <v>11</v>
      </c>
      <c r="H372" s="70">
        <f t="shared" si="66"/>
        <v>451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3">
        <f t="shared" ref="B373:C373" si="249">IF($D373="","",B372)</f>
        <v>35</v>
      </c>
      <c r="C373" s="13" t="str">
        <f t="shared" si="249"/>
        <v>desayuno completo</v>
      </c>
      <c r="D373" s="13" t="s">
        <v>395</v>
      </c>
      <c r="E373" s="13" t="str">
        <f>IFERROR(VLOOKUP($D373,Insumos!$B:$U,D$1,0),"")</f>
        <v>Grs</v>
      </c>
      <c r="F373" s="70">
        <v>41.0</v>
      </c>
      <c r="G373" s="70">
        <f>IFERROR(VLOOKUP($D373,Insumos!$B:$U,G$1,0)/VLOOKUP($D373,Insumos!$B:$U,F$1,0),"")</f>
        <v>1.4</v>
      </c>
      <c r="H373" s="70">
        <f t="shared" si="66"/>
        <v>57.4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3">
        <f t="shared" ref="B374:C374" si="250">IF($D374="","",B373)</f>
        <v>35</v>
      </c>
      <c r="C374" s="13" t="str">
        <f t="shared" si="250"/>
        <v>desayuno completo</v>
      </c>
      <c r="D374" s="13" t="s">
        <v>569</v>
      </c>
      <c r="E374" s="13" t="str">
        <f>IFERROR(VLOOKUP($D374,Insumos!$B:$U,D$1,0),"")</f>
        <v>Unidad</v>
      </c>
      <c r="F374" s="70">
        <v>1.0</v>
      </c>
      <c r="G374" s="70">
        <f>IFERROR(VLOOKUP($D374,Insumos!$B:$U,G$1,0)/VLOOKUP($D374,Insumos!$B:$U,F$1,0),"")</f>
        <v>166.6666667</v>
      </c>
      <c r="H374" s="70">
        <f t="shared" si="66"/>
        <v>166.6666667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3">
        <f t="shared" ref="B375:C375" si="251">IF($D375="","",B374)</f>
        <v>35</v>
      </c>
      <c r="C375" s="13" t="str">
        <f t="shared" si="251"/>
        <v>desayuno completo</v>
      </c>
      <c r="D375" s="13" t="s">
        <v>491</v>
      </c>
      <c r="E375" s="13" t="str">
        <f>IFERROR(VLOOKUP($D375,Insumos!$B:$U,D$1,0),"")</f>
        <v>Grs</v>
      </c>
      <c r="F375" s="70">
        <v>84.0</v>
      </c>
      <c r="G375" s="70">
        <f>IFERROR(VLOOKUP($D375,Insumos!$B:$U,G$1,0)/VLOOKUP($D375,Insumos!$B:$U,F$1,0),"")</f>
        <v>1.5</v>
      </c>
      <c r="H375" s="70">
        <f t="shared" si="66"/>
        <v>126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3">
        <f t="shared" ref="B376:C376" si="252">IF($D376="","",B375)</f>
        <v>35</v>
      </c>
      <c r="C376" s="13" t="str">
        <f t="shared" si="252"/>
        <v>desayuno completo</v>
      </c>
      <c r="D376" s="13" t="s">
        <v>468</v>
      </c>
      <c r="E376" s="13" t="str">
        <f>IFERROR(VLOOKUP($D376,Insumos!$B:$U,D$1,0),"")</f>
        <v>Cm3</v>
      </c>
      <c r="F376" s="70">
        <v>1.0</v>
      </c>
      <c r="G376" s="70">
        <f>IFERROR(VLOOKUP($D376,Insumos!$B:$U,G$1,0)/VLOOKUP($D376,Insumos!$B:$U,F$1,0),"")</f>
        <v>1.52</v>
      </c>
      <c r="H376" s="70">
        <f t="shared" si="66"/>
        <v>1.52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3">
        <f t="shared" ref="B377:C377" si="253">IF($D377="","",B376)</f>
        <v>35</v>
      </c>
      <c r="C377" s="13" t="str">
        <f t="shared" si="253"/>
        <v>desayuno completo</v>
      </c>
      <c r="D377" s="13" t="s">
        <v>454</v>
      </c>
      <c r="E377" s="13" t="str">
        <f>IFERROR(VLOOKUP($D377,Insumos!$B:$U,D$1,0),"")</f>
        <v>Grs</v>
      </c>
      <c r="F377" s="70">
        <v>13.0</v>
      </c>
      <c r="G377" s="70">
        <f>IFERROR(VLOOKUP($D377,Insumos!$B:$U,G$1,0)/VLOOKUP($D377,Insumos!$B:$U,F$1,0),"")</f>
        <v>10</v>
      </c>
      <c r="H377" s="70">
        <f t="shared" si="66"/>
        <v>130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3">
        <f t="shared" ref="B378:C378" si="254">IF($D378="","",B377)</f>
        <v>35</v>
      </c>
      <c r="C378" s="13" t="str">
        <f t="shared" si="254"/>
        <v>desayuno completo</v>
      </c>
      <c r="D378" s="13" t="s">
        <v>466</v>
      </c>
      <c r="E378" s="13" t="str">
        <f>IFERROR(VLOOKUP($D378,Insumos!$B:$U,D$1,0),"")</f>
        <v>Grs</v>
      </c>
      <c r="F378" s="70">
        <v>50.0</v>
      </c>
      <c r="G378" s="70">
        <f>IFERROR(VLOOKUP($D378,Insumos!$B:$U,G$1,0)/VLOOKUP($D378,Insumos!$B:$U,F$1,0),"")</f>
        <v>3.4</v>
      </c>
      <c r="H378" s="70">
        <f t="shared" si="66"/>
        <v>170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3">
        <f t="shared" ref="B379:C379" si="255">IF($D379="","",B378)</f>
        <v>35</v>
      </c>
      <c r="C379" s="13" t="str">
        <f t="shared" si="255"/>
        <v>desayuno completo</v>
      </c>
      <c r="D379" s="13" t="s">
        <v>505</v>
      </c>
      <c r="E379" s="13" t="str">
        <f>IFERROR(VLOOKUP($D379,Insumos!$B:$U,D$1,0),"")</f>
        <v>Grs</v>
      </c>
      <c r="F379" s="70">
        <v>25.0</v>
      </c>
      <c r="G379" s="70">
        <f>IFERROR(VLOOKUP($D379,Insumos!$B:$U,G$1,0)/VLOOKUP($D379,Insumos!$B:$U,F$1,0),"")</f>
        <v>11</v>
      </c>
      <c r="H379" s="70">
        <f t="shared" si="66"/>
        <v>275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3">
        <f t="shared" ref="B380:C380" si="256">IF($D380="","",B379)</f>
        <v>35</v>
      </c>
      <c r="C380" s="13" t="str">
        <f t="shared" si="256"/>
        <v>desayuno completo</v>
      </c>
      <c r="D380" s="13" t="s">
        <v>397</v>
      </c>
      <c r="E380" s="13" t="str">
        <f>IFERROR(VLOOKUP($D380,Insumos!$B:$U,D$1,0),"")</f>
        <v>Grs</v>
      </c>
      <c r="F380" s="70">
        <v>25.0</v>
      </c>
      <c r="G380" s="70">
        <f>IFERROR(VLOOKUP($D380,Insumos!$B:$U,G$1,0)/VLOOKUP($D380,Insumos!$B:$U,F$1,0),"")</f>
        <v>1.5</v>
      </c>
      <c r="H380" s="70">
        <f t="shared" si="66"/>
        <v>37.5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3">
        <f t="shared" ref="B381:C381" si="257">IF($D381="","",B380)</f>
        <v>35</v>
      </c>
      <c r="C381" s="13" t="str">
        <f t="shared" si="257"/>
        <v>desayuno completo</v>
      </c>
      <c r="D381" s="13" t="s">
        <v>569</v>
      </c>
      <c r="E381" s="13" t="str">
        <f>IFERROR(VLOOKUP($D381,Insumos!$B:$U,D$1,0),"")</f>
        <v>Unidad</v>
      </c>
      <c r="F381" s="70">
        <v>2.0</v>
      </c>
      <c r="G381" s="70">
        <f>IFERROR(VLOOKUP($D381,Insumos!$B:$U,G$1,0)/VLOOKUP($D381,Insumos!$B:$U,F$1,0),"")</f>
        <v>166.6666667</v>
      </c>
      <c r="H381" s="70">
        <f t="shared" si="66"/>
        <v>333.3333333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3">
        <f t="shared" ref="B382:C382" si="258">IF($D382="","",B381)</f>
        <v>35</v>
      </c>
      <c r="C382" s="13" t="str">
        <f t="shared" si="258"/>
        <v>desayuno completo</v>
      </c>
      <c r="D382" s="13" t="s">
        <v>408</v>
      </c>
      <c r="E382" s="13" t="str">
        <f>IFERROR(VLOOKUP($D382,Insumos!$B:$U,D$1,0),"")</f>
        <v>Grs</v>
      </c>
      <c r="F382" s="70">
        <v>1.0</v>
      </c>
      <c r="G382" s="70">
        <f>IFERROR(VLOOKUP($D382,Insumos!$B:$U,G$1,0)/VLOOKUP($D382,Insumos!$B:$U,F$1,0),"")</f>
        <v>16.64</v>
      </c>
      <c r="H382" s="70">
        <f t="shared" si="66"/>
        <v>16.64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3">
        <f t="shared" ref="B383:C383" si="259">IF($D383="","",B382)</f>
        <v>35</v>
      </c>
      <c r="C383" s="13" t="str">
        <f t="shared" si="259"/>
        <v>desayuno completo</v>
      </c>
      <c r="D383" s="13" t="s">
        <v>501</v>
      </c>
      <c r="E383" s="13" t="str">
        <f>IFERROR(VLOOKUP($D383,Insumos!$B:$U,D$1,0),"")</f>
        <v>Grs</v>
      </c>
      <c r="F383" s="70">
        <v>75.0</v>
      </c>
      <c r="G383" s="70">
        <f>IFERROR(VLOOKUP($D383,Insumos!$B:$U,G$1,0)/VLOOKUP($D383,Insumos!$B:$U,F$1,0),"")</f>
        <v>2.8</v>
      </c>
      <c r="H383" s="70">
        <f t="shared" si="66"/>
        <v>210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3">
        <f t="shared" ref="B384:C384" si="260">IF($D384="","",B383)</f>
        <v>35</v>
      </c>
      <c r="C384" s="13" t="str">
        <f t="shared" si="260"/>
        <v>desayuno completo</v>
      </c>
      <c r="D384" s="13" t="s">
        <v>586</v>
      </c>
      <c r="E384" s="13" t="str">
        <f>IFERROR(VLOOKUP($D384,Insumos!$B:$U,D$1,0),"")</f>
        <v>Grs</v>
      </c>
      <c r="F384" s="70">
        <v>25.0</v>
      </c>
      <c r="G384" s="70">
        <f>IFERROR(VLOOKUP($D384,Insumos!$B:$U,G$1,0)/VLOOKUP($D384,Insumos!$B:$U,F$1,0),"")</f>
        <v>1.5</v>
      </c>
      <c r="H384" s="70">
        <f t="shared" si="66"/>
        <v>37.5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3">
        <f t="shared" ref="B385:C385" si="261">IF($D385="","",B384)</f>
        <v>35</v>
      </c>
      <c r="C385" s="13" t="str">
        <f t="shared" si="261"/>
        <v>desayuno completo</v>
      </c>
      <c r="D385" s="13" t="s">
        <v>500</v>
      </c>
      <c r="E385" s="13" t="str">
        <f>IFERROR(VLOOKUP($D385,Insumos!$B:$U,D$1,0),"")</f>
        <v>Unidad</v>
      </c>
      <c r="F385" s="70">
        <v>2.0</v>
      </c>
      <c r="G385" s="70">
        <f>IFERROR(VLOOKUP($D385,Insumos!$B:$U,G$1,0)/VLOOKUP($D385,Insumos!$B:$U,F$1,0),"")</f>
        <v>180</v>
      </c>
      <c r="H385" s="70">
        <f t="shared" si="66"/>
        <v>360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3">
        <f t="shared" ref="B386:C386" si="262">IF($D386="","",B385)</f>
        <v>35</v>
      </c>
      <c r="C386" s="13" t="str">
        <f t="shared" si="262"/>
        <v>desayuno completo</v>
      </c>
      <c r="D386" s="13" t="s">
        <v>457</v>
      </c>
      <c r="E386" s="13" t="s">
        <v>392</v>
      </c>
      <c r="F386" s="70">
        <v>25.0</v>
      </c>
      <c r="G386" s="70">
        <f>IFERROR(VLOOKUP($D386,Insumos!$B:$U,G$1,0)/VLOOKUP($D386,Insumos!$B:$U,F$1,0),"")</f>
        <v>10.5</v>
      </c>
      <c r="H386" s="70">
        <f t="shared" si="66"/>
        <v>262.5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3">
        <f t="shared" ref="B387:C387" si="263">IF($D387="","",B386)</f>
        <v>35</v>
      </c>
      <c r="C387" s="13" t="str">
        <f t="shared" si="263"/>
        <v>desayuno completo</v>
      </c>
      <c r="D387" s="13" t="s">
        <v>466</v>
      </c>
      <c r="E387" s="13" t="str">
        <f>IFERROR(VLOOKUP($D387,Insumos!$B:$U,D$1,0),"")</f>
        <v>Grs</v>
      </c>
      <c r="F387" s="70">
        <v>100.0</v>
      </c>
      <c r="G387" s="70">
        <f>IFERROR(VLOOKUP($D387,Insumos!$B:$U,G$1,0)/VLOOKUP($D387,Insumos!$B:$U,F$1,0),"")</f>
        <v>3.4</v>
      </c>
      <c r="H387" s="70">
        <f t="shared" si="66"/>
        <v>340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3">
        <f t="shared" ref="B388:C388" si="264">IF($D388="","",B387)</f>
        <v>35</v>
      </c>
      <c r="C388" s="13" t="str">
        <f t="shared" si="264"/>
        <v>desayuno completo</v>
      </c>
      <c r="D388" s="13" t="s">
        <v>612</v>
      </c>
      <c r="E388" s="13" t="str">
        <f>IFERROR(VLOOKUP($D388,Insumos!$B:$U,D$1,0),"")</f>
        <v>Unidad</v>
      </c>
      <c r="F388" s="70">
        <v>1.0</v>
      </c>
      <c r="G388" s="70">
        <f>IFERROR(VLOOKUP($D388,Insumos!$B:$U,G$1,0)/VLOOKUP($D388,Insumos!$B:$U,F$1,0),"")</f>
        <v>700</v>
      </c>
      <c r="H388" s="70">
        <f t="shared" si="66"/>
        <v>700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3">
        <f t="shared" ref="B389:C389" si="265">IF($D389="","",B388)</f>
        <v>35</v>
      </c>
      <c r="C389" s="13" t="str">
        <f t="shared" si="265"/>
        <v>desayuno completo</v>
      </c>
      <c r="D389" s="13" t="s">
        <v>453</v>
      </c>
      <c r="E389" s="13" t="str">
        <f>IFERROR(VLOOKUP($D389,Insumos!$B:$U,D$1,0),"")</f>
        <v>Unidad</v>
      </c>
      <c r="F389" s="70">
        <v>1.0</v>
      </c>
      <c r="G389" s="70">
        <f>IFERROR(VLOOKUP($D389,Insumos!$B:$U,G$1,0)/VLOOKUP($D389,Insumos!$B:$U,F$1,0),"")</f>
        <v>1900</v>
      </c>
      <c r="H389" s="70">
        <f t="shared" si="66"/>
        <v>1900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81">
        <f t="shared" ref="B390:C390" si="266">IF($D390="","",B389)</f>
        <v>35</v>
      </c>
      <c r="C390" s="81" t="str">
        <f t="shared" si="266"/>
        <v>desayuno completo</v>
      </c>
      <c r="D390" s="81" t="s">
        <v>454</v>
      </c>
      <c r="E390" s="81" t="str">
        <f>IFERROR(VLOOKUP($D390,Insumos!$B:$U,D$1,0),"")</f>
        <v>Grs</v>
      </c>
      <c r="F390" s="82">
        <v>13.0</v>
      </c>
      <c r="G390" s="82">
        <f>IFERROR(VLOOKUP($D390,Insumos!$B:$U,G$1,0)/VLOOKUP($D390,Insumos!$B:$U,F$1,0),"")</f>
        <v>10</v>
      </c>
      <c r="H390" s="82">
        <f t="shared" si="66"/>
        <v>130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3">
        <v>36.0</v>
      </c>
      <c r="C391" s="13" t="s">
        <v>613</v>
      </c>
      <c r="D391" s="13" t="s">
        <v>489</v>
      </c>
      <c r="E391" s="13" t="str">
        <f>IFERROR(VLOOKUP($D391,Insumos!$B:$U,D$1,0),"")</f>
        <v>Grs</v>
      </c>
      <c r="F391" s="70">
        <f>700/4</f>
        <v>175</v>
      </c>
      <c r="G391" s="70">
        <f>IFERROR(VLOOKUP($D391,Insumos!$B:$U,G$1,0)/VLOOKUP($D391,Insumos!$B:$U,F$1,0),"")</f>
        <v>0.82</v>
      </c>
      <c r="H391" s="70">
        <f t="shared" si="66"/>
        <v>143.5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3">
        <v>36.0</v>
      </c>
      <c r="C392" s="13" t="str">
        <f t="shared" ref="C392:C405" si="267">IF($D392="","",C391)</f>
        <v>Pan Dulce 700 gramos</v>
      </c>
      <c r="D392" s="13" t="s">
        <v>602</v>
      </c>
      <c r="E392" s="13" t="str">
        <f>IFERROR(VLOOKUP($D392,Insumos!$B:$U,D$1,0),"")</f>
        <v>Grs</v>
      </c>
      <c r="F392" s="70">
        <f>85/4</f>
        <v>21.25</v>
      </c>
      <c r="G392" s="70">
        <f>IFERROR(VLOOKUP($D392,Insumos!$B:$U,G$1,0)/VLOOKUP($D392,Insumos!$B:$U,F$1,0),"")</f>
        <v>8</v>
      </c>
      <c r="H392" s="70">
        <f t="shared" si="66"/>
        <v>170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3">
        <f t="shared" ref="B393:B405" si="268">IF($D392="","",B392)</f>
        <v>36</v>
      </c>
      <c r="C393" s="13" t="str">
        <f t="shared" si="267"/>
        <v>Pan Dulce 700 gramos</v>
      </c>
      <c r="D393" s="13" t="s">
        <v>496</v>
      </c>
      <c r="E393" s="13" t="str">
        <f>IFERROR(VLOOKUP($D393,Insumos!$B:$U,D$1,0),"")</f>
        <v>Cm3</v>
      </c>
      <c r="F393" s="70">
        <f>150/4</f>
        <v>37.5</v>
      </c>
      <c r="G393" s="70">
        <f>IFERROR(VLOOKUP($D393,Insumos!$B:$U,G$1,0)/VLOOKUP($D393,Insumos!$B:$U,F$1,0),"")</f>
        <v>2.1</v>
      </c>
      <c r="H393" s="70">
        <f t="shared" si="66"/>
        <v>78.75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3">
        <f t="shared" si="268"/>
        <v>36</v>
      </c>
      <c r="C394" s="13" t="str">
        <f t="shared" si="267"/>
        <v>Pan Dulce 700 gramos</v>
      </c>
      <c r="D394" s="13" t="s">
        <v>614</v>
      </c>
      <c r="E394" s="13" t="str">
        <f>IFERROR(VLOOKUP($D394,Insumos!$B:$U,D$1,0),"")</f>
        <v>Cm3</v>
      </c>
      <c r="F394" s="70">
        <v>50.0</v>
      </c>
      <c r="G394" s="70">
        <f>IFERROR(VLOOKUP($D394,Insumos!$B:$U,G$1,0)/VLOOKUP($D394,Insumos!$B:$U,F$1,0),"")</f>
        <v>4.5</v>
      </c>
      <c r="H394" s="70">
        <f t="shared" si="66"/>
        <v>225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3">
        <f t="shared" si="268"/>
        <v>36</v>
      </c>
      <c r="C395" s="13" t="str">
        <f t="shared" si="267"/>
        <v>Pan Dulce 700 gramos</v>
      </c>
      <c r="D395" s="13" t="s">
        <v>492</v>
      </c>
      <c r="E395" s="13" t="str">
        <f>IFERROR(VLOOKUP($D395,Insumos!$B:$U,D$1,0),"")</f>
        <v>Unidad</v>
      </c>
      <c r="F395" s="70">
        <v>1.0</v>
      </c>
      <c r="G395" s="70">
        <f>IFERROR(VLOOKUP($D395,Insumos!$B:$U,G$1,0)/VLOOKUP($D395,Insumos!$B:$U,F$1,0),"")</f>
        <v>166.6666667</v>
      </c>
      <c r="H395" s="70">
        <f t="shared" si="66"/>
        <v>166.6666667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3">
        <f t="shared" si="268"/>
        <v>36</v>
      </c>
      <c r="C396" s="13" t="str">
        <f t="shared" si="267"/>
        <v>Pan Dulce 700 gramos</v>
      </c>
      <c r="D396" s="13" t="s">
        <v>395</v>
      </c>
      <c r="E396" s="13" t="str">
        <f>IFERROR(VLOOKUP($D396,Insumos!$B:$U,D$1,0),"")</f>
        <v>Grs</v>
      </c>
      <c r="F396" s="70">
        <f t="shared" ref="F396:F397" si="269">300/4</f>
        <v>75</v>
      </c>
      <c r="G396" s="70">
        <f>IFERROR(VLOOKUP($D396,Insumos!$B:$U,G$1,0)/VLOOKUP($D396,Insumos!$B:$U,F$1,0),"")</f>
        <v>1.4</v>
      </c>
      <c r="H396" s="70">
        <f t="shared" si="66"/>
        <v>105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3">
        <f t="shared" si="268"/>
        <v>36</v>
      </c>
      <c r="C397" s="13" t="str">
        <f t="shared" si="267"/>
        <v>Pan Dulce 700 gramos</v>
      </c>
      <c r="D397" s="13" t="s">
        <v>505</v>
      </c>
      <c r="E397" s="13" t="str">
        <f>IFERROR(VLOOKUP($D397,Insumos!$B:$U,D$1,0),"")</f>
        <v>Grs</v>
      </c>
      <c r="F397" s="70">
        <f t="shared" si="269"/>
        <v>75</v>
      </c>
      <c r="G397" s="70">
        <f>IFERROR(VLOOKUP($D397,Insumos!$B:$U,G$1,0)/VLOOKUP($D397,Insumos!$B:$U,F$1,0),"")</f>
        <v>11</v>
      </c>
      <c r="H397" s="70">
        <f t="shared" si="66"/>
        <v>825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3">
        <f t="shared" si="268"/>
        <v>36</v>
      </c>
      <c r="C398" s="13" t="str">
        <f t="shared" si="267"/>
        <v>Pan Dulce 700 gramos</v>
      </c>
      <c r="D398" s="13" t="s">
        <v>516</v>
      </c>
      <c r="E398" s="13" t="str">
        <f>IFERROR(VLOOKUP($D398,Insumos!$B:$U,D$1,0),"")</f>
        <v>Grs</v>
      </c>
      <c r="F398" s="70">
        <v>100.0</v>
      </c>
      <c r="G398" s="70">
        <f>IFERROR(VLOOKUP($D398,Insumos!$B:$U,G$1,0)/VLOOKUP($D398,Insumos!$B:$U,F$1,0),"")</f>
        <v>19</v>
      </c>
      <c r="H398" s="70">
        <f t="shared" si="66"/>
        <v>1900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3">
        <f t="shared" si="268"/>
        <v>36</v>
      </c>
      <c r="C399" s="13" t="str">
        <f t="shared" si="267"/>
        <v>Pan Dulce 700 gramos</v>
      </c>
      <c r="D399" s="13" t="s">
        <v>615</v>
      </c>
      <c r="E399" s="13" t="str">
        <f>IFERROR(VLOOKUP($D399,Insumos!$B:$U,D$1,0),"")</f>
        <v>Grs</v>
      </c>
      <c r="F399" s="70">
        <v>100.0</v>
      </c>
      <c r="G399" s="70">
        <f>IFERROR(VLOOKUP($D399,Insumos!$B:$U,G$1,0)/VLOOKUP($D399,Insumos!$B:$U,F$1,0),"")</f>
        <v>17</v>
      </c>
      <c r="H399" s="70">
        <f t="shared" si="66"/>
        <v>1700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3">
        <f t="shared" si="268"/>
        <v>36</v>
      </c>
      <c r="C400" s="13" t="str">
        <f t="shared" si="267"/>
        <v>Pan Dulce 700 gramos</v>
      </c>
      <c r="D400" s="13" t="s">
        <v>443</v>
      </c>
      <c r="E400" s="13" t="str">
        <f>IFERROR(VLOOKUP($D400,Insumos!$B:$U,D$1,0),"")</f>
        <v>Grs</v>
      </c>
      <c r="F400" s="70">
        <v>100.0</v>
      </c>
      <c r="G400" s="70">
        <f>IFERROR(VLOOKUP($D400,Insumos!$B:$U,G$1,0)/VLOOKUP($D400,Insumos!$B:$U,F$1,0),"")</f>
        <v>4.2</v>
      </c>
      <c r="H400" s="70">
        <f t="shared" si="66"/>
        <v>420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3">
        <f t="shared" si="268"/>
        <v>36</v>
      </c>
      <c r="C401" s="13" t="str">
        <f t="shared" si="267"/>
        <v>Pan Dulce 700 gramos</v>
      </c>
      <c r="D401" s="13" t="s">
        <v>514</v>
      </c>
      <c r="E401" s="13" t="str">
        <f>IFERROR(VLOOKUP($D401,Insumos!$B:$U,D$1,0),"")</f>
        <v>Grs</v>
      </c>
      <c r="F401" s="70">
        <v>100.0</v>
      </c>
      <c r="G401" s="70">
        <f>IFERROR(VLOOKUP($D401,Insumos!$B:$U,G$1,0)/VLOOKUP($D401,Insumos!$B:$U,F$1,0),"")</f>
        <v>16</v>
      </c>
      <c r="H401" s="70">
        <f t="shared" si="66"/>
        <v>1600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3">
        <f t="shared" si="268"/>
        <v>36</v>
      </c>
      <c r="C402" s="13" t="str">
        <f t="shared" si="267"/>
        <v>Pan Dulce 700 gramos</v>
      </c>
      <c r="D402" s="13" t="s">
        <v>411</v>
      </c>
      <c r="E402" s="13" t="str">
        <f>IFERROR(VLOOKUP($D402,Insumos!$B:$U,D$1,0),"")</f>
        <v>Unidad</v>
      </c>
      <c r="F402" s="70">
        <v>1.0</v>
      </c>
      <c r="G402" s="70">
        <f>IFERROR(VLOOKUP($D402,Insumos!$B:$U,G$1,0)/VLOOKUP($D402,Insumos!$B:$U,F$1,0),"")</f>
        <v>7.94</v>
      </c>
      <c r="H402" s="70">
        <f t="shared" si="66"/>
        <v>7.94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3">
        <f t="shared" si="268"/>
        <v>36</v>
      </c>
      <c r="C403" s="13" t="str">
        <f t="shared" si="267"/>
        <v>Pan Dulce 700 gramos</v>
      </c>
      <c r="D403" s="13" t="s">
        <v>397</v>
      </c>
      <c r="E403" s="13" t="str">
        <f>IFERROR(VLOOKUP($D403,Insumos!$B:$U,D$1,0),"")</f>
        <v>Grs</v>
      </c>
      <c r="F403" s="70">
        <v>100.0</v>
      </c>
      <c r="G403" s="70">
        <f>IFERROR(VLOOKUP($D403,Insumos!$B:$U,G$1,0)/VLOOKUP($D403,Insumos!$B:$U,F$1,0),"")</f>
        <v>1.5</v>
      </c>
      <c r="H403" s="70">
        <f t="shared" si="66"/>
        <v>150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3">
        <f t="shared" si="268"/>
        <v>36</v>
      </c>
      <c r="C404" s="13" t="str">
        <f t="shared" si="267"/>
        <v>Pan Dulce 700 gramos</v>
      </c>
      <c r="D404" s="13" t="s">
        <v>500</v>
      </c>
      <c r="E404" s="13" t="str">
        <f>IFERROR(VLOOKUP($D404,Insumos!$B:$U,D$1,0),"")</f>
        <v>Unidad</v>
      </c>
      <c r="F404" s="70">
        <v>1.0</v>
      </c>
      <c r="G404" s="70">
        <f>IFERROR(VLOOKUP($D404,Insumos!$B:$U,G$1,0)/VLOOKUP($D404,Insumos!$B:$U,F$1,0),"")</f>
        <v>180</v>
      </c>
      <c r="H404" s="70">
        <f t="shared" si="66"/>
        <v>180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3">
        <f t="shared" si="268"/>
        <v>36</v>
      </c>
      <c r="C405" s="13" t="str">
        <f t="shared" si="267"/>
        <v>Pan Dulce 700 gramos</v>
      </c>
      <c r="D405" s="13" t="s">
        <v>616</v>
      </c>
      <c r="E405" s="13" t="str">
        <f>IFERROR(VLOOKUP($D405,Insumos!$B:$U,D$1,0),"")</f>
        <v>Unidad</v>
      </c>
      <c r="F405" s="70">
        <v>1.0</v>
      </c>
      <c r="G405" s="70">
        <f>IFERROR(VLOOKUP($D405,Insumos!$B:$U,G$1,0)/VLOOKUP($D405,Insumos!$B:$U,F$1,0),"")</f>
        <v>6</v>
      </c>
      <c r="H405" s="70">
        <f t="shared" si="66"/>
        <v>6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66">
        <v>38.0</v>
      </c>
      <c r="C406" s="66" t="s">
        <v>617</v>
      </c>
      <c r="D406" s="66" t="s">
        <v>489</v>
      </c>
      <c r="E406" s="66" t="str">
        <f>IFERROR(VLOOKUP($D406,Insumos!$B:$U,D$1,0),"")</f>
        <v>Grs</v>
      </c>
      <c r="F406" s="67">
        <v>400.0</v>
      </c>
      <c r="G406" s="67">
        <f>IFERROR(VLOOKUP($D406,Insumos!$B:$U,G$1,0)/VLOOKUP($D406,Insumos!$B:$U,F$1,0),"")</f>
        <v>0.82</v>
      </c>
      <c r="H406" s="67">
        <f t="shared" si="66"/>
        <v>328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3">
        <v>38.0</v>
      </c>
      <c r="C407" s="13" t="str">
        <f t="shared" ref="C407:C420" si="270">IF($D407="","",C406)</f>
        <v>Pan Dulce 1 KG</v>
      </c>
      <c r="D407" s="13" t="s">
        <v>602</v>
      </c>
      <c r="E407" s="13" t="str">
        <f>IFERROR(VLOOKUP($D407,Insumos!$B:$U,D$1,0),"")</f>
        <v>Grs</v>
      </c>
      <c r="F407" s="70">
        <f>25*2</f>
        <v>50</v>
      </c>
      <c r="G407" s="70">
        <f>IFERROR(VLOOKUP($D407,Insumos!$B:$U,G$1,0)/VLOOKUP($D407,Insumos!$B:$U,F$1,0),"")</f>
        <v>8</v>
      </c>
      <c r="H407" s="70">
        <f t="shared" si="66"/>
        <v>400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3">
        <f t="shared" ref="B408:B420" si="271">IF($D407="","",B407)</f>
        <v>38</v>
      </c>
      <c r="C408" s="13" t="str">
        <f t="shared" si="270"/>
        <v>Pan Dulce 1 KG</v>
      </c>
      <c r="D408" s="13" t="s">
        <v>496</v>
      </c>
      <c r="E408" s="13" t="str">
        <f>IFERROR(VLOOKUP($D408,Insumos!$B:$U,D$1,0),"")</f>
        <v>Cm3</v>
      </c>
      <c r="F408" s="70">
        <f>33*2</f>
        <v>66</v>
      </c>
      <c r="G408" s="70">
        <f>IFERROR(VLOOKUP($D408,Insumos!$B:$U,G$1,0)/VLOOKUP($D408,Insumos!$B:$U,F$1,0),"")</f>
        <v>2.1</v>
      </c>
      <c r="H408" s="70">
        <f t="shared" si="66"/>
        <v>138.6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3">
        <f t="shared" si="271"/>
        <v>38</v>
      </c>
      <c r="C409" s="13" t="str">
        <f t="shared" si="270"/>
        <v>Pan Dulce 1 KG</v>
      </c>
      <c r="D409" s="13" t="s">
        <v>614</v>
      </c>
      <c r="E409" s="13" t="str">
        <f>IFERROR(VLOOKUP($D409,Insumos!$B:$U,D$1,0),"")</f>
        <v>Cm3</v>
      </c>
      <c r="F409" s="70">
        <f>10*2</f>
        <v>20</v>
      </c>
      <c r="G409" s="70">
        <f>IFERROR(VLOOKUP($D409,Insumos!$B:$U,G$1,0)/VLOOKUP($D409,Insumos!$B:$U,F$1,0),"")</f>
        <v>4.5</v>
      </c>
      <c r="H409" s="70">
        <f t="shared" si="66"/>
        <v>90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3">
        <f t="shared" si="271"/>
        <v>38</v>
      </c>
      <c r="C410" s="13" t="str">
        <f t="shared" si="270"/>
        <v>Pan Dulce 1 KG</v>
      </c>
      <c r="D410" s="13" t="s">
        <v>492</v>
      </c>
      <c r="E410" s="13" t="str">
        <f>IFERROR(VLOOKUP($D410,Insumos!$B:$U,D$1,0),"")</f>
        <v>Unidad</v>
      </c>
      <c r="F410" s="70">
        <v>4.0</v>
      </c>
      <c r="G410" s="70">
        <f>IFERROR(VLOOKUP($D410,Insumos!$B:$U,G$1,0)/VLOOKUP($D410,Insumos!$B:$U,F$1,0),"")</f>
        <v>166.6666667</v>
      </c>
      <c r="H410" s="70">
        <f t="shared" si="66"/>
        <v>666.6666667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3">
        <f t="shared" si="271"/>
        <v>38</v>
      </c>
      <c r="C411" s="13" t="str">
        <f t="shared" si="270"/>
        <v>Pan Dulce 1 KG</v>
      </c>
      <c r="D411" s="13" t="s">
        <v>395</v>
      </c>
      <c r="E411" s="13" t="str">
        <f>IFERROR(VLOOKUP($D411,Insumos!$B:$U,D$1,0),"")</f>
        <v>Grs</v>
      </c>
      <c r="F411" s="70">
        <v>66.0</v>
      </c>
      <c r="G411" s="70">
        <f>IFERROR(VLOOKUP($D411,Insumos!$B:$U,G$1,0)/VLOOKUP($D411,Insumos!$B:$U,F$1,0),"")</f>
        <v>1.4</v>
      </c>
      <c r="H411" s="70">
        <f t="shared" si="66"/>
        <v>92.4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3">
        <f t="shared" si="271"/>
        <v>38</v>
      </c>
      <c r="C412" s="13" t="str">
        <f t="shared" si="270"/>
        <v>Pan Dulce 1 KG</v>
      </c>
      <c r="D412" s="13" t="s">
        <v>505</v>
      </c>
      <c r="E412" s="13" t="str">
        <f>IFERROR(VLOOKUP($D412,Insumos!$B:$U,D$1,0),"")</f>
        <v>Grs</v>
      </c>
      <c r="F412" s="70">
        <v>66.0</v>
      </c>
      <c r="G412" s="70">
        <f>IFERROR(VLOOKUP($D412,Insumos!$B:$U,G$1,0)/VLOOKUP($D412,Insumos!$B:$U,F$1,0),"")</f>
        <v>11</v>
      </c>
      <c r="H412" s="70">
        <f t="shared" si="66"/>
        <v>726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3">
        <f t="shared" si="271"/>
        <v>38</v>
      </c>
      <c r="C413" s="13" t="str">
        <f t="shared" si="270"/>
        <v>Pan Dulce 1 KG</v>
      </c>
      <c r="D413" s="13" t="s">
        <v>516</v>
      </c>
      <c r="E413" s="13" t="str">
        <f>IFERROR(VLOOKUP($D413,Insumos!$B:$U,D$1,0),"")</f>
        <v>Grs</v>
      </c>
      <c r="F413" s="70">
        <v>100.0</v>
      </c>
      <c r="G413" s="70">
        <f>IFERROR(VLOOKUP($D413,Insumos!$B:$U,G$1,0)/VLOOKUP($D413,Insumos!$B:$U,F$1,0),"")</f>
        <v>19</v>
      </c>
      <c r="H413" s="70">
        <f t="shared" si="66"/>
        <v>1900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3">
        <f t="shared" si="271"/>
        <v>38</v>
      </c>
      <c r="C414" s="13" t="str">
        <f t="shared" si="270"/>
        <v>Pan Dulce 1 KG</v>
      </c>
      <c r="D414" s="13" t="s">
        <v>615</v>
      </c>
      <c r="E414" s="13" t="str">
        <f>IFERROR(VLOOKUP($D414,Insumos!$B:$U,D$1,0),"")</f>
        <v>Grs</v>
      </c>
      <c r="F414" s="70">
        <v>100.0</v>
      </c>
      <c r="G414" s="70">
        <f>IFERROR(VLOOKUP($D414,Insumos!$B:$U,G$1,0)/VLOOKUP($D414,Insumos!$B:$U,F$1,0),"")</f>
        <v>17</v>
      </c>
      <c r="H414" s="70">
        <f t="shared" si="66"/>
        <v>1700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3">
        <f t="shared" si="271"/>
        <v>38</v>
      </c>
      <c r="C415" s="13" t="str">
        <f t="shared" si="270"/>
        <v>Pan Dulce 1 KG</v>
      </c>
      <c r="D415" s="13" t="s">
        <v>443</v>
      </c>
      <c r="E415" s="13" t="str">
        <f>IFERROR(VLOOKUP($D415,Insumos!$B:$U,D$1,0),"")</f>
        <v>Grs</v>
      </c>
      <c r="F415" s="70">
        <v>100.0</v>
      </c>
      <c r="G415" s="70">
        <f>IFERROR(VLOOKUP($D415,Insumos!$B:$U,G$1,0)/VLOOKUP($D415,Insumos!$B:$U,F$1,0),"")</f>
        <v>4.2</v>
      </c>
      <c r="H415" s="70">
        <f t="shared" si="66"/>
        <v>420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3">
        <f t="shared" si="271"/>
        <v>38</v>
      </c>
      <c r="C416" s="13" t="str">
        <f t="shared" si="270"/>
        <v>Pan Dulce 1 KG</v>
      </c>
      <c r="D416" s="13" t="s">
        <v>618</v>
      </c>
      <c r="E416" s="13" t="str">
        <f>IFERROR(VLOOKUP($D416,Insumos!$B:$U,D$1,0),"")</f>
        <v>Unidad</v>
      </c>
      <c r="F416" s="70">
        <v>1.0</v>
      </c>
      <c r="G416" s="70">
        <f>IFERROR(VLOOKUP($D416,Insumos!$B:$U,G$1,0)/VLOOKUP($D416,Insumos!$B:$U,F$1,0),"")</f>
        <v>52</v>
      </c>
      <c r="H416" s="70">
        <f t="shared" si="66"/>
        <v>52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3">
        <f t="shared" si="271"/>
        <v>38</v>
      </c>
      <c r="C417" s="13" t="str">
        <f t="shared" si="270"/>
        <v>Pan Dulce 1 KG</v>
      </c>
      <c r="D417" s="13" t="s">
        <v>411</v>
      </c>
      <c r="E417" s="13" t="str">
        <f>IFERROR(VLOOKUP($D417,Insumos!$B:$U,D$1,0),"")</f>
        <v>Unidad</v>
      </c>
      <c r="F417" s="70">
        <v>1.0</v>
      </c>
      <c r="G417" s="70">
        <f>IFERROR(VLOOKUP($D417,Insumos!$B:$U,G$1,0)/VLOOKUP($D417,Insumos!$B:$U,F$1,0),"")</f>
        <v>7.94</v>
      </c>
      <c r="H417" s="70">
        <f t="shared" si="66"/>
        <v>7.94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3">
        <f t="shared" si="271"/>
        <v>38</v>
      </c>
      <c r="C418" s="13" t="str">
        <f t="shared" si="270"/>
        <v>Pan Dulce 1 KG</v>
      </c>
      <c r="D418" s="13" t="s">
        <v>397</v>
      </c>
      <c r="E418" s="13" t="str">
        <f>IFERROR(VLOOKUP($D418,Insumos!$B:$U,D$1,0),"")</f>
        <v>Grs</v>
      </c>
      <c r="F418" s="70">
        <v>100.0</v>
      </c>
      <c r="G418" s="70">
        <f>IFERROR(VLOOKUP($D418,Insumos!$B:$U,G$1,0)/VLOOKUP($D418,Insumos!$B:$U,F$1,0),"")</f>
        <v>1.5</v>
      </c>
      <c r="H418" s="70">
        <f t="shared" si="66"/>
        <v>150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3">
        <f t="shared" si="271"/>
        <v>38</v>
      </c>
      <c r="C419" s="13" t="str">
        <f t="shared" si="270"/>
        <v>Pan Dulce 1 KG</v>
      </c>
      <c r="D419" s="13" t="s">
        <v>500</v>
      </c>
      <c r="E419" s="13" t="str">
        <f>IFERROR(VLOOKUP($D419,Insumos!$B:$U,D$1,0),"")</f>
        <v>Unidad</v>
      </c>
      <c r="F419" s="70">
        <v>1.0</v>
      </c>
      <c r="G419" s="70">
        <f>IFERROR(VLOOKUP($D419,Insumos!$B:$U,G$1,0)/VLOOKUP($D419,Insumos!$B:$U,F$1,0),"")</f>
        <v>180</v>
      </c>
      <c r="H419" s="70">
        <f t="shared" si="66"/>
        <v>180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3">
        <f t="shared" si="271"/>
        <v>38</v>
      </c>
      <c r="C420" s="13" t="str">
        <f t="shared" si="270"/>
        <v>Pan Dulce 1 KG</v>
      </c>
      <c r="D420" s="13" t="s">
        <v>616</v>
      </c>
      <c r="E420" s="13" t="str">
        <f>IFERROR(VLOOKUP($D420,Insumos!$B:$U,D$1,0),"")</f>
        <v>Unidad</v>
      </c>
      <c r="F420" s="70">
        <v>1.0</v>
      </c>
      <c r="G420" s="70">
        <f>IFERROR(VLOOKUP($D420,Insumos!$B:$U,G$1,0)/VLOOKUP($D420,Insumos!$B:$U,F$1,0),"")</f>
        <v>6</v>
      </c>
      <c r="H420" s="70">
        <f t="shared" si="66"/>
        <v>6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66">
        <v>39.0</v>
      </c>
      <c r="C421" s="66" t="s">
        <v>619</v>
      </c>
      <c r="D421" s="66" t="s">
        <v>620</v>
      </c>
      <c r="E421" s="66" t="str">
        <f>IFERROR(VLOOKUP($D421,Insumos!$B:$U,D$1,0),"")</f>
        <v>Unidad</v>
      </c>
      <c r="F421" s="67">
        <v>1.0</v>
      </c>
      <c r="G421" s="67">
        <f>IFERROR(VLOOKUP($D421,Insumos!$B:$U,G$1,0)/VLOOKUP($D421,Insumos!$B:$U,F$1,0),"")</f>
        <v>618</v>
      </c>
      <c r="H421" s="67">
        <f t="shared" si="66"/>
        <v>618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3">
        <v>39.0</v>
      </c>
      <c r="C422" s="13" t="str">
        <f>IF($D422="","",C421)</f>
        <v>box dia del medico</v>
      </c>
      <c r="D422" s="13" t="s">
        <v>426</v>
      </c>
      <c r="E422" s="13" t="str">
        <f>IFERROR(VLOOKUP($D422,Insumos!$B:$U,D$1,0),"")</f>
        <v>Unidad</v>
      </c>
      <c r="F422" s="70">
        <v>1.0</v>
      </c>
      <c r="G422" s="70">
        <f>IFERROR(VLOOKUP($D422,Insumos!$B:$U,G$1,0)/VLOOKUP($D422,Insumos!$B:$U,F$1,0),"")</f>
        <v>975</v>
      </c>
      <c r="H422" s="70">
        <f t="shared" si="66"/>
        <v>975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3">
        <f t="shared" ref="B423:B430" si="272">IF($D422="","",B422)</f>
        <v>39</v>
      </c>
      <c r="C423" s="13" t="s">
        <v>619</v>
      </c>
      <c r="D423" s="13" t="s">
        <v>568</v>
      </c>
      <c r="E423" s="13" t="str">
        <f>IFERROR(VLOOKUP($D423,Insumos!$B:$U,D$1,0),"")</f>
        <v>Grs</v>
      </c>
      <c r="F423" s="70">
        <f>125/20*8</f>
        <v>50</v>
      </c>
      <c r="G423" s="70">
        <f>IFERROR(VLOOKUP($D423,Insumos!$B:$U,G$1,0)/VLOOKUP($D423,Insumos!$B:$U,F$1,0),"")</f>
        <v>11</v>
      </c>
      <c r="H423" s="70">
        <f t="shared" si="66"/>
        <v>550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3">
        <f t="shared" si="272"/>
        <v>39</v>
      </c>
      <c r="C424" s="13" t="str">
        <f t="shared" ref="C424:C429" si="273">IF($D424="","",C423)</f>
        <v>box dia del medico</v>
      </c>
      <c r="D424" s="13" t="s">
        <v>597</v>
      </c>
      <c r="E424" s="13" t="str">
        <f>IFERROR(VLOOKUP($D424,Insumos!$B:$U,D$1,0),"")</f>
        <v>Grs</v>
      </c>
      <c r="F424" s="70">
        <f>375/20*8</f>
        <v>150</v>
      </c>
      <c r="G424" s="70">
        <f>IFERROR(VLOOKUP($D424,Insumos!$B:$U,G$1,0)/VLOOKUP($D424,Insumos!$B:$U,F$1,0),"")</f>
        <v>1.5</v>
      </c>
      <c r="H424" s="70">
        <f t="shared" si="66"/>
        <v>225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3">
        <f t="shared" si="272"/>
        <v>39</v>
      </c>
      <c r="C425" s="13" t="str">
        <f t="shared" si="273"/>
        <v>box dia del medico</v>
      </c>
      <c r="D425" s="13" t="s">
        <v>492</v>
      </c>
      <c r="E425" s="13" t="str">
        <f>IFERROR(VLOOKUP($D425,Insumos!$B:$U,D$1,0),"")</f>
        <v>Unidad</v>
      </c>
      <c r="F425" s="70">
        <f>2/20*8</f>
        <v>0.8</v>
      </c>
      <c r="G425" s="70">
        <f>IFERROR(VLOOKUP($D425,Insumos!$B:$U,G$1,0)/VLOOKUP($D425,Insumos!$B:$U,F$1,0),"")</f>
        <v>166.6666667</v>
      </c>
      <c r="H425" s="70">
        <f t="shared" si="66"/>
        <v>133.3333333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3">
        <f t="shared" si="272"/>
        <v>39</v>
      </c>
      <c r="C426" s="13" t="str">
        <f t="shared" si="273"/>
        <v>box dia del medico</v>
      </c>
      <c r="D426" s="13" t="s">
        <v>468</v>
      </c>
      <c r="E426" s="13" t="str">
        <f>IFERROR(VLOOKUP($D426,Insumos!$B:$U,D$1,0),"")</f>
        <v>Cm3</v>
      </c>
      <c r="F426" s="70">
        <f>10/20*8</f>
        <v>4</v>
      </c>
      <c r="G426" s="70">
        <f>IFERROR(VLOOKUP($D426,Insumos!$B:$U,G$1,0)/VLOOKUP($D426,Insumos!$B:$U,F$1,0),"")</f>
        <v>1.52</v>
      </c>
      <c r="H426" s="70">
        <f t="shared" si="66"/>
        <v>6.08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3">
        <f t="shared" si="272"/>
        <v>39</v>
      </c>
      <c r="C427" s="13" t="str">
        <f t="shared" si="273"/>
        <v>box dia del medico</v>
      </c>
      <c r="D427" s="13" t="s">
        <v>489</v>
      </c>
      <c r="E427" s="13" t="str">
        <f>IFERROR(VLOOKUP($D427,Insumos!$B:$U,D$1,0),"")</f>
        <v>Grs</v>
      </c>
      <c r="F427" s="70">
        <f>225/20*8</f>
        <v>90</v>
      </c>
      <c r="G427" s="70">
        <f>IFERROR(VLOOKUP($D427,Insumos!$B:$U,G$1,0)/VLOOKUP($D427,Insumos!$B:$U,F$1,0),"")</f>
        <v>0.82</v>
      </c>
      <c r="H427" s="70">
        <f t="shared" si="66"/>
        <v>73.8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3">
        <f t="shared" si="272"/>
        <v>39</v>
      </c>
      <c r="C428" s="13" t="str">
        <f t="shared" si="273"/>
        <v>box dia del medico</v>
      </c>
      <c r="D428" s="13" t="s">
        <v>500</v>
      </c>
      <c r="E428" s="13" t="str">
        <f>IFERROR(VLOOKUP($D428,Insumos!$B:$U,D$1,0),"")</f>
        <v>Unidad</v>
      </c>
      <c r="F428" s="70">
        <v>1.0</v>
      </c>
      <c r="G428" s="70">
        <f>IFERROR(VLOOKUP($D428,Insumos!$B:$U,G$1,0)/VLOOKUP($D428,Insumos!$B:$U,F$1,0),"")</f>
        <v>180</v>
      </c>
      <c r="H428" s="70">
        <f t="shared" si="66"/>
        <v>180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3">
        <f t="shared" si="272"/>
        <v>39</v>
      </c>
      <c r="C429" s="13" t="str">
        <f t="shared" si="273"/>
        <v>box dia del medico</v>
      </c>
      <c r="D429" s="13" t="s">
        <v>411</v>
      </c>
      <c r="E429" s="13" t="str">
        <f>IFERROR(VLOOKUP($D429,Insumos!$B:$U,D$1,0),"")</f>
        <v>Unidad</v>
      </c>
      <c r="F429" s="70">
        <v>8.0</v>
      </c>
      <c r="G429" s="70">
        <f>IFERROR(VLOOKUP($D429,Insumos!$B:$U,G$1,0)/VLOOKUP($D429,Insumos!$B:$U,F$1,0),"")</f>
        <v>7.94</v>
      </c>
      <c r="H429" s="70">
        <f t="shared" si="66"/>
        <v>63.52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3">
        <f t="shared" si="272"/>
        <v>39</v>
      </c>
      <c r="C430" s="13" t="s">
        <v>619</v>
      </c>
      <c r="D430" s="13" t="s">
        <v>598</v>
      </c>
      <c r="E430" s="13" t="str">
        <f>IFERROR(VLOOKUP($D430,Insumos!$B:$U,D$1,0),"")</f>
        <v>Grs</v>
      </c>
      <c r="F430" s="70">
        <f>6*5</f>
        <v>30</v>
      </c>
      <c r="G430" s="70">
        <f>IFERROR(VLOOKUP($D430,Insumos!$B:$U,G$1,0)/VLOOKUP($D430,Insumos!$B:$U,F$1,0),"")</f>
        <v>120</v>
      </c>
      <c r="H430" s="70">
        <f t="shared" si="66"/>
        <v>3600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66">
        <v>40.0</v>
      </c>
      <c r="C431" s="66" t="s">
        <v>621</v>
      </c>
      <c r="D431" s="66" t="s">
        <v>584</v>
      </c>
      <c r="E431" s="66" t="str">
        <f>IFERROR(VLOOKUP($D431,Insumos!$B:$U,D$1,0),"")</f>
        <v>Grs</v>
      </c>
      <c r="F431" s="67">
        <v>300.0</v>
      </c>
      <c r="G431" s="67">
        <f>IFERROR(VLOOKUP($D431,Insumos!$B:$U,G$1,0)/VLOOKUP($D431,Insumos!$B:$U,F$1,0),"")</f>
        <v>10</v>
      </c>
      <c r="H431" s="67">
        <f t="shared" si="66"/>
        <v>3000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3">
        <v>40.0</v>
      </c>
      <c r="C432" s="13" t="str">
        <f>IF($D432="","",C431)</f>
        <v>San Valentin "te amo"</v>
      </c>
      <c r="D432" s="13" t="s">
        <v>622</v>
      </c>
      <c r="E432" s="13" t="str">
        <f>IFERROR(VLOOKUP($D432,Insumos!$B:$U,D$1,0),"")</f>
        <v>Grs</v>
      </c>
      <c r="F432" s="70">
        <v>10.0</v>
      </c>
      <c r="G432" s="70">
        <f>IFERROR(VLOOKUP($D432,Insumos!$B:$U,G$1,0)/VLOOKUP($D432,Insumos!$B:$U,F$1,0),"")</f>
        <v>8</v>
      </c>
      <c r="H432" s="70">
        <f t="shared" si="66"/>
        <v>80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3">
        <v>40.0</v>
      </c>
      <c r="C433" s="13" t="s">
        <v>621</v>
      </c>
      <c r="D433" s="13" t="s">
        <v>623</v>
      </c>
      <c r="E433" s="13" t="str">
        <f>IFERROR(VLOOKUP($D433,Insumos!$B:$U,D$1,0),"")</f>
        <v>Grs</v>
      </c>
      <c r="F433" s="70">
        <v>50.0</v>
      </c>
      <c r="G433" s="70">
        <f>IFERROR(VLOOKUP($D433,Insumos!$B:$U,G$1,0)/VLOOKUP($D433,Insumos!$B:$U,F$1,0),"")</f>
        <v>31.42857143</v>
      </c>
      <c r="H433" s="70">
        <f t="shared" si="66"/>
        <v>1571.428571</v>
      </c>
      <c r="I433" s="110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3">
        <v>40.0</v>
      </c>
      <c r="C434" s="13" t="str">
        <f>IF($D434="","",C433)</f>
        <v>San Valentin "te amo"</v>
      </c>
      <c r="D434" s="13" t="s">
        <v>440</v>
      </c>
      <c r="E434" s="13" t="str">
        <f>IFERROR(VLOOKUP($D434,Insumos!$B:$U,D$1,0),"")</f>
        <v>Unidad</v>
      </c>
      <c r="F434" s="70">
        <v>1.0</v>
      </c>
      <c r="G434" s="70">
        <f>IFERROR(VLOOKUP($D434,Insumos!$B:$U,G$1,0)/VLOOKUP($D434,Insumos!$B:$U,F$1,0),"")</f>
        <v>2500</v>
      </c>
      <c r="H434" s="70">
        <f t="shared" si="66"/>
        <v>2500</v>
      </c>
      <c r="I434" s="110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66">
        <v>41.0</v>
      </c>
      <c r="C435" s="66" t="s">
        <v>624</v>
      </c>
      <c r="D435" s="66" t="s">
        <v>584</v>
      </c>
      <c r="E435" s="66" t="str">
        <f>IFERROR(VLOOKUP($D435,Insumos!$B:$U,D$1,0),"")</f>
        <v>Grs</v>
      </c>
      <c r="F435" s="67">
        <v>500.0</v>
      </c>
      <c r="G435" s="67">
        <f>IFERROR(VLOOKUP($D435,Insumos!$B:$U,G$1,0)/VLOOKUP($D435,Insumos!$B:$U,F$1,0),"")</f>
        <v>10</v>
      </c>
      <c r="H435" s="67">
        <f t="shared" si="66"/>
        <v>5000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3">
        <v>41.0</v>
      </c>
      <c r="C436" s="13" t="str">
        <f t="shared" ref="C436:C439" si="274">IF($D436="","",C435)</f>
        <v>San Valentin </v>
      </c>
      <c r="D436" s="13" t="s">
        <v>568</v>
      </c>
      <c r="E436" s="13" t="str">
        <f>IFERROR(VLOOKUP($D436,Insumos!$B:$U,D$1,0),"")</f>
        <v>Grs</v>
      </c>
      <c r="F436" s="70">
        <f>125/20*4</f>
        <v>25</v>
      </c>
      <c r="G436" s="70">
        <f>IFERROR(VLOOKUP($D436,Insumos!$B:$U,G$1,0)/VLOOKUP($D436,Insumos!$B:$U,F$1,0),"")</f>
        <v>11</v>
      </c>
      <c r="H436" s="70">
        <f t="shared" si="66"/>
        <v>275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3">
        <f t="shared" ref="B437:B441" si="275">IF($D436="","",B436)</f>
        <v>41</v>
      </c>
      <c r="C437" s="13" t="str">
        <f t="shared" si="274"/>
        <v>San Valentin </v>
      </c>
      <c r="D437" s="13" t="s">
        <v>597</v>
      </c>
      <c r="E437" s="13" t="str">
        <f>IFERROR(VLOOKUP($D437,Insumos!$B:$U,D$1,0),"")</f>
        <v>Grs</v>
      </c>
      <c r="F437" s="70">
        <f>375/20*4</f>
        <v>75</v>
      </c>
      <c r="G437" s="70">
        <f>IFERROR(VLOOKUP($D437,Insumos!$B:$U,G$1,0)/VLOOKUP($D437,Insumos!$B:$U,F$1,0),"")</f>
        <v>1.5</v>
      </c>
      <c r="H437" s="70">
        <f t="shared" si="66"/>
        <v>112.5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3">
        <f t="shared" si="275"/>
        <v>41</v>
      </c>
      <c r="C438" s="13" t="str">
        <f t="shared" si="274"/>
        <v>San Valentin </v>
      </c>
      <c r="D438" s="13" t="s">
        <v>492</v>
      </c>
      <c r="E438" s="13" t="str">
        <f>IFERROR(VLOOKUP($D438,Insumos!$B:$U,D$1,0),"")</f>
        <v>Unidad</v>
      </c>
      <c r="F438" s="70">
        <f>2/20*4</f>
        <v>0.4</v>
      </c>
      <c r="G438" s="70">
        <f>IFERROR(VLOOKUP($D438,Insumos!$B:$U,G$1,0)/VLOOKUP($D438,Insumos!$B:$U,F$1,0),"")</f>
        <v>166.6666667</v>
      </c>
      <c r="H438" s="70">
        <f t="shared" si="66"/>
        <v>66.66666667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3">
        <f t="shared" si="275"/>
        <v>41</v>
      </c>
      <c r="C439" s="13" t="str">
        <f t="shared" si="274"/>
        <v>San Valentin </v>
      </c>
      <c r="D439" s="13" t="s">
        <v>468</v>
      </c>
      <c r="E439" s="13" t="str">
        <f>IFERROR(VLOOKUP($D439,Insumos!$B:$U,D$1,0),"")</f>
        <v>Cm3</v>
      </c>
      <c r="F439" s="70">
        <f>10/20*4</f>
        <v>2</v>
      </c>
      <c r="G439" s="70">
        <f>IFERROR(VLOOKUP($D439,Insumos!$B:$U,G$1,0)/VLOOKUP($D439,Insumos!$B:$U,F$1,0),"")</f>
        <v>1.52</v>
      </c>
      <c r="H439" s="70">
        <f t="shared" si="66"/>
        <v>3.04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3">
        <f t="shared" si="275"/>
        <v>41</v>
      </c>
      <c r="C440" s="13" t="s">
        <v>625</v>
      </c>
      <c r="D440" s="13" t="s">
        <v>489</v>
      </c>
      <c r="E440" s="13" t="str">
        <f>IFERROR(VLOOKUP($D440,Insumos!$B:$U,D$1,0),"")</f>
        <v>Grs</v>
      </c>
      <c r="F440" s="70">
        <f>225/20*4</f>
        <v>45</v>
      </c>
      <c r="G440" s="70">
        <f>IFERROR(VLOOKUP($D440,Insumos!$B:$U,G$1,0)/VLOOKUP($D440,Insumos!$B:$U,F$1,0),"")</f>
        <v>0.82</v>
      </c>
      <c r="H440" s="70">
        <f t="shared" si="66"/>
        <v>36.9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3">
        <f t="shared" si="275"/>
        <v>41</v>
      </c>
      <c r="C441" s="13" t="s">
        <v>625</v>
      </c>
      <c r="D441" s="13" t="s">
        <v>622</v>
      </c>
      <c r="E441" s="13" t="str">
        <f>IFERROR(VLOOKUP($D441,Insumos!$B:$U,D$1,0),"")</f>
        <v>Grs</v>
      </c>
      <c r="F441" s="70">
        <v>30.0</v>
      </c>
      <c r="G441" s="70">
        <f>IFERROR(VLOOKUP($D441,Insumos!$B:$U,G$1,0)/VLOOKUP($D441,Insumos!$B:$U,F$1,0),"")</f>
        <v>8</v>
      </c>
      <c r="H441" s="70">
        <f t="shared" si="66"/>
        <v>240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3">
        <v>41.0</v>
      </c>
      <c r="C442" s="13" t="s">
        <v>625</v>
      </c>
      <c r="D442" s="13" t="s">
        <v>590</v>
      </c>
      <c r="E442" s="13" t="str">
        <f>IFERROR(VLOOKUP($D442,Insumos!$B:$U,D$1,0),"")</f>
        <v>Grs</v>
      </c>
      <c r="F442" s="70">
        <v>40.0</v>
      </c>
      <c r="G442" s="70">
        <f>IFERROR(VLOOKUP($D442,Insumos!$B:$U,G$1,0)/VLOOKUP($D442,Insumos!$B:$U,F$1,0),"")</f>
        <v>14.52991453</v>
      </c>
      <c r="H442" s="70">
        <f t="shared" si="66"/>
        <v>581.1965812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3">
        <f t="shared" ref="B443:B453" si="276">IF($D442="","",B442)</f>
        <v>41</v>
      </c>
      <c r="C443" s="13" t="str">
        <f t="shared" ref="C443:C453" si="277">IF($D443="","",C442)</f>
        <v>San Valentin</v>
      </c>
      <c r="D443" s="13" t="s">
        <v>623</v>
      </c>
      <c r="E443" s="13" t="str">
        <f>IFERROR(VLOOKUP($D443,Insumos!$B:$U,D$1,0),"")</f>
        <v>Grs</v>
      </c>
      <c r="F443" s="70">
        <v>50.0</v>
      </c>
      <c r="G443" s="70">
        <f>IFERROR(VLOOKUP($D443,Insumos!$B:$U,G$1,0)/VLOOKUP($D443,Insumos!$B:$U,F$1,0),"")</f>
        <v>31.42857143</v>
      </c>
      <c r="H443" s="70">
        <f t="shared" si="66"/>
        <v>1571.428571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3">
        <f t="shared" si="276"/>
        <v>41</v>
      </c>
      <c r="C444" s="13" t="str">
        <f t="shared" si="277"/>
        <v>San Valentin</v>
      </c>
      <c r="D444" s="13" t="s">
        <v>395</v>
      </c>
      <c r="E444" s="13" t="str">
        <f>IFERROR(VLOOKUP($D444,Insumos!$B:$U,D$1,0),"")</f>
        <v>Grs</v>
      </c>
      <c r="F444" s="70">
        <f t="shared" ref="F444:F445" si="278">260/60*4</f>
        <v>17.33333333</v>
      </c>
      <c r="G444" s="70">
        <f>IFERROR(VLOOKUP($D444,Insumos!$B:$U,G$1,0)/VLOOKUP($D444,Insumos!$B:$U,F$1,0),"")</f>
        <v>1.4</v>
      </c>
      <c r="H444" s="70">
        <f t="shared" si="66"/>
        <v>24.26666667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3">
        <f t="shared" si="276"/>
        <v>41</v>
      </c>
      <c r="C445" s="13" t="str">
        <f t="shared" si="277"/>
        <v>San Valentin</v>
      </c>
      <c r="D445" s="13" t="s">
        <v>490</v>
      </c>
      <c r="E445" s="13" t="str">
        <f>IFERROR(VLOOKUP($D445,Insumos!$B:$U,D$1,0),"")</f>
        <v>Grs</v>
      </c>
      <c r="F445" s="70">
        <f t="shared" si="278"/>
        <v>17.33333333</v>
      </c>
      <c r="G445" s="70">
        <f>IFERROR(VLOOKUP($D445,Insumos!$B:$U,G$1,0)/VLOOKUP($D445,Insumos!$B:$U,F$1,0),"")</f>
        <v>32</v>
      </c>
      <c r="H445" s="70">
        <f t="shared" si="66"/>
        <v>554.6666667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3">
        <f t="shared" si="276"/>
        <v>41</v>
      </c>
      <c r="C446" s="13" t="str">
        <f t="shared" si="277"/>
        <v>San Valentin</v>
      </c>
      <c r="D446" s="13" t="s">
        <v>492</v>
      </c>
      <c r="E446" s="13" t="str">
        <f>IFERROR(VLOOKUP($D446,Insumos!$B:$U,D$1,0),"")</f>
        <v>Unidad</v>
      </c>
      <c r="F446" s="70">
        <v>2.0</v>
      </c>
      <c r="G446" s="70">
        <f>IFERROR(VLOOKUP($D446,Insumos!$B:$U,G$1,0)/VLOOKUP($D446,Insumos!$B:$U,F$1,0),"")</f>
        <v>166.6666667</v>
      </c>
      <c r="H446" s="70">
        <f t="shared" si="66"/>
        <v>333.3333333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3">
        <f t="shared" si="276"/>
        <v>41</v>
      </c>
      <c r="C447" s="13" t="str">
        <f t="shared" si="277"/>
        <v>San Valentin</v>
      </c>
      <c r="D447" s="13" t="s">
        <v>397</v>
      </c>
      <c r="E447" s="13" t="str">
        <f>IFERROR(VLOOKUP($D447,Insumos!$B:$U,D$1,0),"")</f>
        <v>Grs</v>
      </c>
      <c r="F447" s="70">
        <f>125/60*4</f>
        <v>8.333333333</v>
      </c>
      <c r="G447" s="70">
        <f>IFERROR(VLOOKUP($D447,Insumos!$B:$U,G$1,0)/VLOOKUP($D447,Insumos!$B:$U,F$1,0),"")</f>
        <v>1.5</v>
      </c>
      <c r="H447" s="70">
        <f t="shared" si="66"/>
        <v>12.5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3">
        <f t="shared" si="276"/>
        <v>41</v>
      </c>
      <c r="C448" s="13" t="str">
        <f t="shared" si="277"/>
        <v>San Valentin</v>
      </c>
      <c r="D448" s="13" t="s">
        <v>458</v>
      </c>
      <c r="E448" s="13" t="str">
        <f>IFERROR(VLOOKUP($D448,Insumos!$B:$U,D$1,0),"")</f>
        <v>Grs</v>
      </c>
      <c r="F448" s="70">
        <f>1/(45/10)*5</f>
        <v>1.111111111</v>
      </c>
      <c r="G448" s="70">
        <f>IFERROR(VLOOKUP($D448,Insumos!$B:$U,G$1,0)/VLOOKUP($D448,Insumos!$B:$U,F$1,0),"")</f>
        <v>120</v>
      </c>
      <c r="H448" s="70">
        <f t="shared" si="66"/>
        <v>133.3333333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3">
        <f t="shared" si="276"/>
        <v>41</v>
      </c>
      <c r="C449" s="13" t="str">
        <f t="shared" si="277"/>
        <v>San Valentin</v>
      </c>
      <c r="D449" s="13" t="s">
        <v>541</v>
      </c>
      <c r="E449" s="13" t="str">
        <f>IFERROR(VLOOKUP($D449,Insumos!$B:$U,D$1,0),"")</f>
        <v>Grs</v>
      </c>
      <c r="F449" s="70">
        <f>8/60*4</f>
        <v>0.5333333333</v>
      </c>
      <c r="G449" s="70">
        <f>IFERROR(VLOOKUP($D449,Insumos!$B:$U,G$1,0)/VLOOKUP($D449,Insumos!$B:$U,F$1,0),"")</f>
        <v>48</v>
      </c>
      <c r="H449" s="70">
        <f t="shared" si="66"/>
        <v>25.6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3">
        <f t="shared" si="276"/>
        <v>41</v>
      </c>
      <c r="C450" s="13" t="str">
        <f t="shared" si="277"/>
        <v>San Valentin</v>
      </c>
      <c r="D450" s="13" t="s">
        <v>462</v>
      </c>
      <c r="E450" s="13" t="str">
        <f>IFERROR(VLOOKUP($D450,Insumos!$B:$U,D$1,0),"")</f>
        <v>Grs</v>
      </c>
      <c r="F450" s="70">
        <v>20.0</v>
      </c>
      <c r="G450" s="70">
        <f>IFERROR(VLOOKUP($D450,Insumos!$B:$U,G$1,0)/VLOOKUP($D450,Insumos!$B:$U,F$1,0),"")</f>
        <v>9.2</v>
      </c>
      <c r="H450" s="70">
        <f t="shared" si="66"/>
        <v>184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3">
        <f t="shared" si="276"/>
        <v>41</v>
      </c>
      <c r="C451" s="13" t="str">
        <f t="shared" si="277"/>
        <v>San Valentin</v>
      </c>
      <c r="D451" s="13" t="s">
        <v>454</v>
      </c>
      <c r="E451" s="13" t="str">
        <f>IFERROR(VLOOKUP($D451,Insumos!$B:$U,D$1,0),"")</f>
        <v>Grs</v>
      </c>
      <c r="F451" s="70">
        <v>100.0</v>
      </c>
      <c r="G451" s="70">
        <f>IFERROR(VLOOKUP($D451,Insumos!$B:$U,G$1,0)/VLOOKUP($D451,Insumos!$B:$U,F$1,0),"")</f>
        <v>10</v>
      </c>
      <c r="H451" s="70">
        <f t="shared" si="66"/>
        <v>1000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3">
        <f t="shared" si="276"/>
        <v>41</v>
      </c>
      <c r="C452" s="13" t="str">
        <f t="shared" si="277"/>
        <v>San Valentin</v>
      </c>
      <c r="D452" s="13" t="s">
        <v>504</v>
      </c>
      <c r="E452" s="13" t="str">
        <f>IFERROR(VLOOKUP($D452,Insumos!$B:$U,D$1,0),"")</f>
        <v>Unidad</v>
      </c>
      <c r="F452" s="70">
        <v>2.0</v>
      </c>
      <c r="G452" s="70">
        <f>IFERROR(VLOOKUP($D452,Insumos!$B:$U,G$1,0)/VLOOKUP($D452,Insumos!$B:$U,F$1,0),"")</f>
        <v>400</v>
      </c>
      <c r="H452" s="70">
        <f t="shared" si="66"/>
        <v>800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3">
        <f t="shared" si="276"/>
        <v>41</v>
      </c>
      <c r="C453" s="13" t="str">
        <f t="shared" si="277"/>
        <v>San Valentin</v>
      </c>
      <c r="D453" s="13" t="s">
        <v>426</v>
      </c>
      <c r="E453" s="13" t="str">
        <f>IFERROR(VLOOKUP($D453,Insumos!$B:$U,D$1,0),"")</f>
        <v>Unidad</v>
      </c>
      <c r="F453" s="70">
        <v>1.0</v>
      </c>
      <c r="G453" s="70">
        <f>IFERROR(VLOOKUP($D453,Insumos!$B:$U,G$1,0)/VLOOKUP($D453,Insumos!$B:$U,F$1,0),"")</f>
        <v>975</v>
      </c>
      <c r="H453" s="70">
        <f t="shared" si="66"/>
        <v>975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66">
        <v>42.0</v>
      </c>
      <c r="C454" s="66" t="s">
        <v>367</v>
      </c>
      <c r="D454" s="66" t="s">
        <v>481</v>
      </c>
      <c r="E454" s="66" t="str">
        <f>IFERROR(VLOOKUP($D454,Insumos!$B:$U,D$1,0),"")</f>
        <v>Grs</v>
      </c>
      <c r="F454" s="67">
        <v>200.0</v>
      </c>
      <c r="G454" s="67">
        <f>IFERROR(VLOOKUP($D454,Insumos!$B:$U,G$1,0)/VLOOKUP($D454,Insumos!$B:$U,F$1,0),"")</f>
        <v>10.45751634</v>
      </c>
      <c r="H454" s="67">
        <f t="shared" si="66"/>
        <v>2091.503268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3">
        <v>42.0</v>
      </c>
      <c r="C455" s="13" t="str">
        <f t="shared" ref="C455:C462" si="279">IF($D455="","",C454)</f>
        <v>Cheescake 22cm</v>
      </c>
      <c r="D455" s="13" t="s">
        <v>568</v>
      </c>
      <c r="E455" s="13" t="str">
        <f>IFERROR(VLOOKUP($D455,Insumos!$B:$U,D$1,0),"")</f>
        <v>Grs</v>
      </c>
      <c r="F455" s="70">
        <v>80.0</v>
      </c>
      <c r="G455" s="70">
        <f>IFERROR(VLOOKUP($D455,Insumos!$B:$U,G$1,0)/VLOOKUP($D455,Insumos!$B:$U,F$1,0),"")</f>
        <v>11</v>
      </c>
      <c r="H455" s="70">
        <f t="shared" si="66"/>
        <v>880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3">
        <v>42.0</v>
      </c>
      <c r="C456" s="13" t="str">
        <f t="shared" si="279"/>
        <v>Cheescake 22cm</v>
      </c>
      <c r="D456" s="13" t="s">
        <v>533</v>
      </c>
      <c r="E456" s="13" t="str">
        <f>IFERROR(VLOOKUP($D456,Insumos!$B:$U,D$1,0),"")</f>
        <v>Grs</v>
      </c>
      <c r="F456" s="70">
        <v>750.0</v>
      </c>
      <c r="G456" s="70">
        <f>IFERROR(VLOOKUP($D456,Insumos!$B:$U,G$1,0)/VLOOKUP($D456,Insumos!$B:$U,F$1,0),"")</f>
        <v>7.428571429</v>
      </c>
      <c r="H456" s="70">
        <f t="shared" si="66"/>
        <v>5571.428571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3">
        <v>42.0</v>
      </c>
      <c r="C457" s="13" t="str">
        <f t="shared" si="279"/>
        <v>Cheescake 22cm</v>
      </c>
      <c r="D457" s="13" t="s">
        <v>395</v>
      </c>
      <c r="E457" s="13" t="str">
        <f>IFERROR(VLOOKUP($D457,Insumos!$B:$U,D$1,0),"")</f>
        <v>Grs</v>
      </c>
      <c r="F457" s="70">
        <v>150.0</v>
      </c>
      <c r="G457" s="70">
        <f>IFERROR(VLOOKUP($D457,Insumos!$B:$U,G$1,0)/VLOOKUP($D457,Insumos!$B:$U,F$1,0),"")</f>
        <v>1.4</v>
      </c>
      <c r="H457" s="70">
        <f t="shared" si="66"/>
        <v>210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3">
        <v>42.0</v>
      </c>
      <c r="C458" s="13" t="str">
        <f t="shared" si="279"/>
        <v>Cheescake 22cm</v>
      </c>
      <c r="D458" s="13" t="s">
        <v>462</v>
      </c>
      <c r="E458" s="13" t="str">
        <f>IFERROR(VLOOKUP($D458,Insumos!$B:$U,D$1,0),"")</f>
        <v>Grs</v>
      </c>
      <c r="F458" s="70">
        <v>180.0</v>
      </c>
      <c r="G458" s="70">
        <f>IFERROR(VLOOKUP($D458,Insumos!$B:$U,G$1,0)/VLOOKUP($D458,Insumos!$B:$U,F$1,0),"")</f>
        <v>9.2</v>
      </c>
      <c r="H458" s="70">
        <f t="shared" si="66"/>
        <v>1656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3">
        <v>42.0</v>
      </c>
      <c r="C459" s="13" t="str">
        <f t="shared" si="279"/>
        <v>Cheescake 22cm</v>
      </c>
      <c r="D459" s="13" t="s">
        <v>492</v>
      </c>
      <c r="E459" s="13" t="str">
        <f>IFERROR(VLOOKUP($D459,Insumos!$B:$U,D$1,0),"")</f>
        <v>Unidad</v>
      </c>
      <c r="F459" s="70">
        <v>3.0</v>
      </c>
      <c r="G459" s="70">
        <f>IFERROR(VLOOKUP($D459,Insumos!$B:$U,G$1,0)/VLOOKUP($D459,Insumos!$B:$U,F$1,0),"")</f>
        <v>166.6666667</v>
      </c>
      <c r="H459" s="70">
        <f t="shared" si="66"/>
        <v>500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3">
        <v>42.0</v>
      </c>
      <c r="C460" s="13" t="str">
        <f t="shared" si="279"/>
        <v>Cheescake 22cm</v>
      </c>
      <c r="D460" s="13" t="s">
        <v>500</v>
      </c>
      <c r="E460" s="13" t="str">
        <f>IFERROR(VLOOKUP($D460,Insumos!$B:$U,D$1,0),"")</f>
        <v>Unidad</v>
      </c>
      <c r="F460" s="70">
        <v>1.0</v>
      </c>
      <c r="G460" s="70">
        <f>IFERROR(VLOOKUP($D460,Insumos!$B:$U,G$1,0)/VLOOKUP($D460,Insumos!$B:$U,F$1,0),"")</f>
        <v>180</v>
      </c>
      <c r="H460" s="70">
        <f t="shared" si="66"/>
        <v>180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3">
        <v>42.0</v>
      </c>
      <c r="C461" s="13" t="str">
        <f t="shared" si="279"/>
        <v>Cheescake 22cm</v>
      </c>
      <c r="D461" s="13" t="s">
        <v>480</v>
      </c>
      <c r="E461" s="13" t="str">
        <f>IFERROR(VLOOKUP($D461,Insumos!$B:$U,D$1,0),"")</f>
        <v>Grs</v>
      </c>
      <c r="F461" s="70">
        <v>200.0</v>
      </c>
      <c r="G461" s="70">
        <f>IFERROR(VLOOKUP($D461,Insumos!$B:$U,G$1,0)/VLOOKUP($D461,Insumos!$B:$U,F$1,0),"")</f>
        <v>11</v>
      </c>
      <c r="H461" s="70">
        <f t="shared" si="66"/>
        <v>2200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3">
        <v>42.0</v>
      </c>
      <c r="C462" s="13" t="str">
        <f t="shared" si="279"/>
        <v>Cheescake 22cm</v>
      </c>
      <c r="D462" s="13" t="s">
        <v>512</v>
      </c>
      <c r="E462" s="13" t="str">
        <f>IFERROR(VLOOKUP($D462,Insumos!$B:$U,D$1,0),"")</f>
        <v>Grs</v>
      </c>
      <c r="F462" s="70">
        <f>90+40</f>
        <v>130</v>
      </c>
      <c r="G462" s="70">
        <f>IFERROR(VLOOKUP($D462,Insumos!$B:$U,G$1,0)/VLOOKUP($D462,Insumos!$B:$U,F$1,0),"")</f>
        <v>8.5</v>
      </c>
      <c r="H462" s="70">
        <f t="shared" si="66"/>
        <v>1105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3">
        <v>42.0</v>
      </c>
      <c r="C463" s="13" t="str">
        <f>IF($D463="","",C460)</f>
        <v>Cheescake 22cm</v>
      </c>
      <c r="D463" s="13" t="s">
        <v>501</v>
      </c>
      <c r="E463" s="13" t="str">
        <f>IFERROR(VLOOKUP($D463,Insumos!$B:$U,D$1,0),"")</f>
        <v>Grs</v>
      </c>
      <c r="F463" s="70">
        <v>20.0</v>
      </c>
      <c r="G463" s="70">
        <f>IFERROR(VLOOKUP($D463,Insumos!$B:$U,G$1,0)/VLOOKUP($D463,Insumos!$B:$U,F$1,0),"")</f>
        <v>2.8</v>
      </c>
      <c r="H463" s="70">
        <f t="shared" si="66"/>
        <v>56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3">
        <v>42.0</v>
      </c>
      <c r="C464" s="13" t="s">
        <v>367</v>
      </c>
      <c r="D464" s="13" t="s">
        <v>426</v>
      </c>
      <c r="E464" s="13" t="s">
        <v>385</v>
      </c>
      <c r="F464" s="70">
        <v>1.0</v>
      </c>
      <c r="G464" s="70">
        <v>800.0</v>
      </c>
      <c r="H464" s="70">
        <f t="shared" si="66"/>
        <v>800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66">
        <v>43.0</v>
      </c>
      <c r="C465" s="66" t="s">
        <v>626</v>
      </c>
      <c r="D465" s="66" t="s">
        <v>455</v>
      </c>
      <c r="E465" s="66" t="str">
        <f>IFERROR(VLOOKUP($D465,Insumos!$B:$U,D$1,0),"")</f>
        <v>Grs</v>
      </c>
      <c r="F465" s="67">
        <f t="shared" ref="F465:F467" si="280">250/24*8</f>
        <v>83.33333333</v>
      </c>
      <c r="G465" s="67">
        <f>IFERROR(VLOOKUP($D465,Insumos!$B:$U,G$1,0)/VLOOKUP($D465,Insumos!$B:$U,F$1,0),"")</f>
        <v>7.6</v>
      </c>
      <c r="H465" s="67">
        <f t="shared" si="66"/>
        <v>633.3333333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3">
        <v>43.0</v>
      </c>
      <c r="C466" s="13" t="s">
        <v>626</v>
      </c>
      <c r="D466" s="13" t="s">
        <v>466</v>
      </c>
      <c r="E466" s="13" t="str">
        <f>IFERROR(VLOOKUP($D466,Insumos!$B:$U,D$1,0),"")</f>
        <v>Grs</v>
      </c>
      <c r="F466" s="67">
        <f t="shared" si="280"/>
        <v>83.33333333</v>
      </c>
      <c r="G466" s="70">
        <f>IFERROR(VLOOKUP($D466,Insumos!$B:$U,G$1,0)/VLOOKUP($D466,Insumos!$B:$U,F$1,0),"")</f>
        <v>3.4</v>
      </c>
      <c r="H466" s="70">
        <f t="shared" si="66"/>
        <v>283.3333333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3">
        <f t="shared" ref="B467:B502" si="281">IF($D466="","",B466)</f>
        <v>43</v>
      </c>
      <c r="C467" s="13" t="s">
        <v>626</v>
      </c>
      <c r="D467" s="13" t="s">
        <v>533</v>
      </c>
      <c r="E467" s="13" t="str">
        <f>IFERROR(VLOOKUP($D467,Insumos!$B:$U,D$1,0),"")</f>
        <v>Grs</v>
      </c>
      <c r="F467" s="70">
        <f t="shared" si="280"/>
        <v>83.33333333</v>
      </c>
      <c r="G467" s="70">
        <f>IFERROR(VLOOKUP($D467,Insumos!$B:$U,G$1,0)/VLOOKUP($D467,Insumos!$B:$U,F$1,0),"")</f>
        <v>7.428571429</v>
      </c>
      <c r="H467" s="70">
        <f t="shared" si="66"/>
        <v>619.047619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3">
        <f t="shared" si="281"/>
        <v>43</v>
      </c>
      <c r="C468" s="13" t="str">
        <f>IF($D468="","",C467)</f>
        <v>desayuno opcion 3</v>
      </c>
      <c r="D468" s="13" t="s">
        <v>505</v>
      </c>
      <c r="E468" s="13" t="str">
        <f>IFERROR(VLOOKUP($D468,Insumos!$B:$U,D$1,0),"")</f>
        <v>Grs</v>
      </c>
      <c r="F468" s="70">
        <f>110/4</f>
        <v>27.5</v>
      </c>
      <c r="G468" s="70">
        <f>IFERROR(VLOOKUP($D468,Insumos!$B:$U,G$1,0)/VLOOKUP($D468,Insumos!$B:$U,F$1,0),"")</f>
        <v>11</v>
      </c>
      <c r="H468" s="70">
        <f t="shared" si="66"/>
        <v>302.5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3">
        <f t="shared" si="281"/>
        <v>43</v>
      </c>
      <c r="C469" s="13" t="s">
        <v>627</v>
      </c>
      <c r="D469" s="13" t="s">
        <v>395</v>
      </c>
      <c r="E469" s="13" t="str">
        <f>IFERROR(VLOOKUP($D469,Insumos!$B:$U,D$1,0),"")</f>
        <v>Grs</v>
      </c>
      <c r="F469" s="70">
        <f>225/4</f>
        <v>56.25</v>
      </c>
      <c r="G469" s="70">
        <f>IFERROR(VLOOKUP($D469,Insumos!$B:$U,G$1,0)/VLOOKUP($D469,Insumos!$B:$U,F$1,0),"")</f>
        <v>1.4</v>
      </c>
      <c r="H469" s="70">
        <f t="shared" si="66"/>
        <v>78.75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3">
        <f t="shared" si="281"/>
        <v>43</v>
      </c>
      <c r="C470" s="13" t="str">
        <f t="shared" ref="C470:C497" si="282">IF($D470="","",C469)</f>
        <v>desayuno opcion3</v>
      </c>
      <c r="D470" s="13" t="s">
        <v>492</v>
      </c>
      <c r="E470" s="13" t="str">
        <f>IFERROR(VLOOKUP($D470,Insumos!$B:$U,D$1,0),"")</f>
        <v>Unidad</v>
      </c>
      <c r="F470" s="70">
        <v>1.0</v>
      </c>
      <c r="G470" s="70">
        <f>IFERROR(VLOOKUP($D470,Insumos!$B:$U,G$1,0)/VLOOKUP($D470,Insumos!$B:$U,F$1,0),"")</f>
        <v>166.6666667</v>
      </c>
      <c r="H470" s="70">
        <f t="shared" si="66"/>
        <v>166.6666667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3">
        <f t="shared" si="281"/>
        <v>43</v>
      </c>
      <c r="C471" s="13" t="str">
        <f t="shared" si="282"/>
        <v>desayuno opcion3</v>
      </c>
      <c r="D471" s="13" t="s">
        <v>454</v>
      </c>
      <c r="E471" s="13" t="str">
        <f>IFERROR(VLOOKUP($D471,Insumos!$B:$U,D$1,0),"")</f>
        <v>Grs</v>
      </c>
      <c r="F471" s="70">
        <f>110/4</f>
        <v>27.5</v>
      </c>
      <c r="G471" s="70">
        <f>IFERROR(VLOOKUP($D471,Insumos!$B:$U,G$1,0)/VLOOKUP($D471,Insumos!$B:$U,F$1,0),"")</f>
        <v>10</v>
      </c>
      <c r="H471" s="70">
        <f t="shared" si="66"/>
        <v>275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3">
        <f t="shared" si="281"/>
        <v>43</v>
      </c>
      <c r="C472" s="13" t="str">
        <f t="shared" si="282"/>
        <v>desayuno opcion3</v>
      </c>
      <c r="D472" s="13" t="s">
        <v>422</v>
      </c>
      <c r="E472" s="13" t="str">
        <f>IFERROR(VLOOKUP($D472,Insumos!$B:$U,D$1,0),"")</f>
        <v>Grs</v>
      </c>
      <c r="F472" s="70">
        <f>10/4</f>
        <v>2.5</v>
      </c>
      <c r="G472" s="70">
        <f>IFERROR(VLOOKUP($D472,Insumos!$B:$U,G$1,0)/VLOOKUP($D472,Insumos!$B:$U,F$1,0),"")</f>
        <v>36.11111111</v>
      </c>
      <c r="H472" s="70">
        <f t="shared" si="66"/>
        <v>90.27777778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3">
        <f t="shared" si="281"/>
        <v>43</v>
      </c>
      <c r="C473" s="13" t="str">
        <f t="shared" si="282"/>
        <v>desayuno opcion3</v>
      </c>
      <c r="D473" s="13" t="s">
        <v>489</v>
      </c>
      <c r="E473" s="13" t="str">
        <f>IFERROR(VLOOKUP($D473,Insumos!$B:$U,D$1,0),"")</f>
        <v>Grs</v>
      </c>
      <c r="F473" s="70">
        <f>65/4</f>
        <v>16.25</v>
      </c>
      <c r="G473" s="70">
        <f>IFERROR(VLOOKUP($D473,Insumos!$B:$U,G$1,0)/VLOOKUP($D473,Insumos!$B:$U,F$1,0),"")</f>
        <v>0.82</v>
      </c>
      <c r="H473" s="70">
        <f t="shared" si="66"/>
        <v>13.325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3">
        <f t="shared" si="281"/>
        <v>43</v>
      </c>
      <c r="C474" s="13" t="str">
        <f t="shared" si="282"/>
        <v>desayuno opcion3</v>
      </c>
      <c r="D474" s="13" t="s">
        <v>516</v>
      </c>
      <c r="E474" s="13" t="str">
        <f>IFERROR(VLOOKUP($D474,Insumos!$B:$U,D$1,0),"")</f>
        <v>Grs</v>
      </c>
      <c r="F474" s="70">
        <f>90/4</f>
        <v>22.5</v>
      </c>
      <c r="G474" s="70">
        <f>IFERROR(VLOOKUP($D474,Insumos!$B:$U,G$1,0)/VLOOKUP($D474,Insumos!$B:$U,F$1,0),"")</f>
        <v>19</v>
      </c>
      <c r="H474" s="70">
        <f t="shared" si="66"/>
        <v>427.5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3">
        <f t="shared" si="281"/>
        <v>43</v>
      </c>
      <c r="C475" s="13" t="str">
        <f t="shared" si="282"/>
        <v>desayuno opcion3</v>
      </c>
      <c r="D475" s="13" t="s">
        <v>395</v>
      </c>
      <c r="E475" s="13" t="str">
        <f>IFERROR(VLOOKUP($D475,Insumos!$B:$U,D$1,0),"")</f>
        <v>Grs</v>
      </c>
      <c r="F475" s="70">
        <v>28.0</v>
      </c>
      <c r="G475" s="70">
        <f>IFERROR(VLOOKUP($D475,Insumos!$B:$U,G$1,0)/VLOOKUP($D475,Insumos!$B:$U,F$1,0),"")</f>
        <v>1.4</v>
      </c>
      <c r="H475" s="70">
        <f t="shared" si="66"/>
        <v>39.2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3">
        <f t="shared" si="281"/>
        <v>43</v>
      </c>
      <c r="C476" s="13" t="str">
        <f t="shared" si="282"/>
        <v>desayuno opcion3</v>
      </c>
      <c r="D476" s="13" t="s">
        <v>490</v>
      </c>
      <c r="E476" s="13" t="str">
        <f>IFERROR(VLOOKUP($D476,Insumos!$B:$U,D$1,0),"")</f>
        <v>Grs</v>
      </c>
      <c r="F476" s="70">
        <f>125/45*5</f>
        <v>13.88888889</v>
      </c>
      <c r="G476" s="70">
        <f>IFERROR(VLOOKUP($D476,Insumos!$B:$U,G$1,0)/VLOOKUP($D476,Insumos!$B:$U,F$1,0),"")</f>
        <v>32</v>
      </c>
      <c r="H476" s="70">
        <f t="shared" si="66"/>
        <v>444.4444444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3">
        <f t="shared" si="281"/>
        <v>43</v>
      </c>
      <c r="C477" s="13" t="str">
        <f t="shared" si="282"/>
        <v>desayuno opcion3</v>
      </c>
      <c r="D477" s="13" t="s">
        <v>492</v>
      </c>
      <c r="E477" s="13" t="str">
        <f>IFERROR(VLOOKUP($D477,Insumos!$B:$U,D$1,0),"")</f>
        <v>Unidad</v>
      </c>
      <c r="F477" s="70">
        <v>0.6</v>
      </c>
      <c r="G477" s="70">
        <f>IFERROR(VLOOKUP($D477,Insumos!$B:$U,G$1,0)/VLOOKUP($D477,Insumos!$B:$U,F$1,0),"")</f>
        <v>166.6666667</v>
      </c>
      <c r="H477" s="70">
        <f t="shared" si="66"/>
        <v>100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3">
        <f t="shared" si="281"/>
        <v>43</v>
      </c>
      <c r="C478" s="13" t="str">
        <f t="shared" si="282"/>
        <v>desayuno opcion3</v>
      </c>
      <c r="D478" s="13" t="s">
        <v>397</v>
      </c>
      <c r="E478" s="13" t="str">
        <f>IFERROR(VLOOKUP($D478,Insumos!$B:$U,D$1,0),"")</f>
        <v>Grs</v>
      </c>
      <c r="F478" s="70">
        <v>14.0</v>
      </c>
      <c r="G478" s="70">
        <f>IFERROR(VLOOKUP($D478,Insumos!$B:$U,G$1,0)/VLOOKUP($D478,Insumos!$B:$U,F$1,0),"")</f>
        <v>1.5</v>
      </c>
      <c r="H478" s="70">
        <f t="shared" si="66"/>
        <v>21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3">
        <f t="shared" si="281"/>
        <v>43</v>
      </c>
      <c r="C479" s="13" t="str">
        <f t="shared" si="282"/>
        <v>desayuno opcion3</v>
      </c>
      <c r="D479" s="13" t="s">
        <v>458</v>
      </c>
      <c r="E479" s="13" t="str">
        <f>IFERROR(VLOOKUP($D479,Insumos!$B:$U,D$1,0),"")</f>
        <v>Grs</v>
      </c>
      <c r="F479" s="70">
        <f>1/(45/10)*5</f>
        <v>1.111111111</v>
      </c>
      <c r="G479" s="70">
        <f>IFERROR(VLOOKUP($D479,Insumos!$B:$U,G$1,0)/VLOOKUP($D479,Insumos!$B:$U,F$1,0),"")</f>
        <v>120</v>
      </c>
      <c r="H479" s="70">
        <f t="shared" si="66"/>
        <v>133.3333333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3">
        <f t="shared" si="281"/>
        <v>43</v>
      </c>
      <c r="C480" s="13" t="str">
        <f t="shared" si="282"/>
        <v>desayuno opcion3</v>
      </c>
      <c r="D480" s="13" t="s">
        <v>541</v>
      </c>
      <c r="E480" s="13" t="str">
        <f>IFERROR(VLOOKUP($D480,Insumos!$B:$U,D$1,0),"")</f>
        <v>Grs</v>
      </c>
      <c r="F480" s="70">
        <f>8/(45/5)</f>
        <v>0.8888888889</v>
      </c>
      <c r="G480" s="70">
        <f>IFERROR(VLOOKUP($D480,Insumos!$B:$U,G$1,0)/VLOOKUP($D480,Insumos!$B:$U,F$1,0),"")</f>
        <v>48</v>
      </c>
      <c r="H480" s="70">
        <f t="shared" si="66"/>
        <v>42.66666667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3">
        <f t="shared" si="281"/>
        <v>43</v>
      </c>
      <c r="C481" s="13" t="str">
        <f t="shared" si="282"/>
        <v>desayuno opcion3</v>
      </c>
      <c r="D481" s="13" t="s">
        <v>462</v>
      </c>
      <c r="E481" s="13" t="str">
        <f>IFERROR(VLOOKUP($D481,Insumos!$B:$U,D$1,0),"")</f>
        <v>Grs</v>
      </c>
      <c r="F481" s="70">
        <v>20.0</v>
      </c>
      <c r="G481" s="70">
        <f>IFERROR(VLOOKUP($D481,Insumos!$B:$U,G$1,0)/VLOOKUP($D481,Insumos!$B:$U,F$1,0),"")</f>
        <v>9.2</v>
      </c>
      <c r="H481" s="70">
        <f t="shared" si="66"/>
        <v>184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3">
        <f t="shared" si="281"/>
        <v>43</v>
      </c>
      <c r="C482" s="13" t="str">
        <f t="shared" si="282"/>
        <v>desayuno opcion3</v>
      </c>
      <c r="D482" s="13" t="s">
        <v>454</v>
      </c>
      <c r="E482" s="13" t="str">
        <f>IFERROR(VLOOKUP($D482,Insumos!$B:$U,D$1,0),"")</f>
        <v>Grs</v>
      </c>
      <c r="F482" s="70">
        <v>150.0</v>
      </c>
      <c r="G482" s="70">
        <f>IFERROR(VLOOKUP($D482,Insumos!$B:$U,G$1,0)/VLOOKUP($D482,Insumos!$B:$U,F$1,0),"")</f>
        <v>10</v>
      </c>
      <c r="H482" s="70">
        <f t="shared" si="66"/>
        <v>1500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3">
        <f t="shared" si="281"/>
        <v>43</v>
      </c>
      <c r="C483" s="13" t="str">
        <f t="shared" si="282"/>
        <v>desayuno opcion3</v>
      </c>
      <c r="D483" s="13" t="s">
        <v>504</v>
      </c>
      <c r="E483" s="13" t="str">
        <f>IFERROR(VLOOKUP($D483,Insumos!$B:$U,D$1,0),"")</f>
        <v>Unidad</v>
      </c>
      <c r="F483" s="70">
        <v>2.0</v>
      </c>
      <c r="G483" s="70">
        <f>IFERROR(VLOOKUP($D483,Insumos!$B:$U,G$1,0)/VLOOKUP($D483,Insumos!$B:$U,F$1,0),"")</f>
        <v>400</v>
      </c>
      <c r="H483" s="70">
        <f t="shared" si="66"/>
        <v>800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3">
        <f t="shared" si="281"/>
        <v>43</v>
      </c>
      <c r="C484" s="13" t="str">
        <f t="shared" si="282"/>
        <v>desayuno opcion3</v>
      </c>
      <c r="D484" s="13" t="s">
        <v>568</v>
      </c>
      <c r="E484" s="13" t="str">
        <f>IFERROR(VLOOKUP($D484,Insumos!$B:$U,D$1,0),"")</f>
        <v>Grs</v>
      </c>
      <c r="F484" s="70">
        <f>125/3</f>
        <v>41.66666667</v>
      </c>
      <c r="G484" s="70">
        <f>IFERROR(VLOOKUP($D484,Insumos!$B:$U,G$1,0)/VLOOKUP($D484,Insumos!$B:$U,F$1,0),"")</f>
        <v>11</v>
      </c>
      <c r="H484" s="70">
        <f t="shared" si="66"/>
        <v>458.3333333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3">
        <f t="shared" si="281"/>
        <v>43</v>
      </c>
      <c r="C485" s="13" t="str">
        <f t="shared" si="282"/>
        <v>desayuno opcion3</v>
      </c>
      <c r="D485" s="13" t="s">
        <v>597</v>
      </c>
      <c r="E485" s="13" t="str">
        <f>IFERROR(VLOOKUP($D485,Insumos!$B:$U,D$1,0),"")</f>
        <v>Grs</v>
      </c>
      <c r="F485" s="70">
        <f>375/3</f>
        <v>125</v>
      </c>
      <c r="G485" s="70">
        <f>IFERROR(VLOOKUP($D485,Insumos!$B:$U,G$1,0)/VLOOKUP($D485,Insumos!$B:$U,F$1,0),"")</f>
        <v>1.5</v>
      </c>
      <c r="H485" s="70">
        <f t="shared" si="66"/>
        <v>187.5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3">
        <f t="shared" si="281"/>
        <v>43</v>
      </c>
      <c r="C486" s="13" t="str">
        <f t="shared" si="282"/>
        <v>desayuno opcion3</v>
      </c>
      <c r="D486" s="13" t="s">
        <v>492</v>
      </c>
      <c r="E486" s="13" t="str">
        <f>IFERROR(VLOOKUP($D486,Insumos!$B:$U,D$1,0),"")</f>
        <v>Unidad</v>
      </c>
      <c r="F486" s="70">
        <f>2/3</f>
        <v>0.6666666667</v>
      </c>
      <c r="G486" s="70">
        <f>IFERROR(VLOOKUP($D486,Insumos!$B:$U,G$1,0)/VLOOKUP($D486,Insumos!$B:$U,F$1,0),"")</f>
        <v>166.6666667</v>
      </c>
      <c r="H486" s="70">
        <f t="shared" si="66"/>
        <v>111.1111111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3">
        <f t="shared" si="281"/>
        <v>43</v>
      </c>
      <c r="C487" s="13" t="str">
        <f t="shared" si="282"/>
        <v>desayuno opcion3</v>
      </c>
      <c r="D487" s="13" t="s">
        <v>468</v>
      </c>
      <c r="E487" s="13" t="str">
        <f>IFERROR(VLOOKUP($D487,Insumos!$B:$U,D$1,0),"")</f>
        <v>Cm3</v>
      </c>
      <c r="F487" s="70">
        <f>10/3</f>
        <v>3.333333333</v>
      </c>
      <c r="G487" s="70">
        <f>IFERROR(VLOOKUP($D487,Insumos!$B:$U,G$1,0)/VLOOKUP($D487,Insumos!$B:$U,F$1,0),"")</f>
        <v>1.52</v>
      </c>
      <c r="H487" s="70">
        <f t="shared" si="66"/>
        <v>5.066666667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3">
        <f t="shared" si="281"/>
        <v>43</v>
      </c>
      <c r="C488" s="13" t="str">
        <f t="shared" si="282"/>
        <v>desayuno opcion3</v>
      </c>
      <c r="D488" s="13" t="s">
        <v>489</v>
      </c>
      <c r="E488" s="13" t="str">
        <f>IFERROR(VLOOKUP($D488,Insumos!$B:$U,D$1,0),"")</f>
        <v>Grs</v>
      </c>
      <c r="F488" s="70">
        <f>225/3</f>
        <v>75</v>
      </c>
      <c r="G488" s="70">
        <f>IFERROR(VLOOKUP($D488,Insumos!$B:$U,G$1,0)/VLOOKUP($D488,Insumos!$B:$U,F$1,0),"")</f>
        <v>0.82</v>
      </c>
      <c r="H488" s="70">
        <f t="shared" si="66"/>
        <v>61.5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3">
        <f t="shared" si="281"/>
        <v>43</v>
      </c>
      <c r="C489" s="13" t="str">
        <f t="shared" si="282"/>
        <v>desayuno opcion3</v>
      </c>
      <c r="D489" s="13" t="s">
        <v>500</v>
      </c>
      <c r="E489" s="13" t="str">
        <f>IFERROR(VLOOKUP($D489,Insumos!$B:$U,D$1,0),"")</f>
        <v>Unidad</v>
      </c>
      <c r="F489" s="70">
        <v>1.0</v>
      </c>
      <c r="G489" s="70">
        <f>IFERROR(VLOOKUP($D489,Insumos!$B:$U,G$1,0)/VLOOKUP($D489,Insumos!$B:$U,F$1,0),"")</f>
        <v>180</v>
      </c>
      <c r="H489" s="70">
        <f t="shared" si="66"/>
        <v>180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3">
        <f t="shared" si="281"/>
        <v>43</v>
      </c>
      <c r="C490" s="13" t="str">
        <f t="shared" si="282"/>
        <v>desayuno opcion3</v>
      </c>
      <c r="D490" s="13" t="s">
        <v>411</v>
      </c>
      <c r="E490" s="13" t="str">
        <f>IFERROR(VLOOKUP($D490,Insumos!$B:$U,D$1,0),"")</f>
        <v>Unidad</v>
      </c>
      <c r="F490" s="70">
        <v>4.0</v>
      </c>
      <c r="G490" s="70">
        <f>IFERROR(VLOOKUP($D490,Insumos!$B:$U,G$1,0)/VLOOKUP($D490,Insumos!$B:$U,F$1,0),"")</f>
        <v>7.94</v>
      </c>
      <c r="H490" s="70">
        <f t="shared" si="66"/>
        <v>31.76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3">
        <f t="shared" si="281"/>
        <v>43</v>
      </c>
      <c r="C491" s="13" t="str">
        <f t="shared" si="282"/>
        <v>desayuno opcion3</v>
      </c>
      <c r="D491" s="13" t="s">
        <v>489</v>
      </c>
      <c r="E491" s="13" t="str">
        <f>IFERROR(VLOOKUP($D491,Insumos!$B:$U,D$1,0),"")</f>
        <v>Grs</v>
      </c>
      <c r="F491" s="70">
        <v>62.5</v>
      </c>
      <c r="G491" s="70">
        <f>IFERROR(VLOOKUP($D491,Insumos!$B:$U,G$1,0)/VLOOKUP($D491,Insumos!$B:$U,F$1,0),"")</f>
        <v>0.82</v>
      </c>
      <c r="H491" s="70">
        <f t="shared" si="66"/>
        <v>51.25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3">
        <f t="shared" si="281"/>
        <v>43</v>
      </c>
      <c r="C492" s="13" t="str">
        <f t="shared" si="282"/>
        <v>desayuno opcion3</v>
      </c>
      <c r="D492" s="13" t="s">
        <v>395</v>
      </c>
      <c r="E492" s="13" t="str">
        <f>IFERROR(VLOOKUP($D492,Insumos!$B:$U,D$1,0),"")</f>
        <v>Grs</v>
      </c>
      <c r="F492" s="70">
        <v>65.0</v>
      </c>
      <c r="G492" s="70">
        <f>IFERROR(VLOOKUP($D492,Insumos!$B:$U,G$1,0)/VLOOKUP($D492,Insumos!$B:$U,F$1,0),"")</f>
        <v>1.4</v>
      </c>
      <c r="H492" s="70">
        <f t="shared" si="66"/>
        <v>91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3">
        <f t="shared" si="281"/>
        <v>43</v>
      </c>
      <c r="C493" s="13" t="str">
        <f t="shared" si="282"/>
        <v>desayuno opcion3</v>
      </c>
      <c r="D493" s="13" t="s">
        <v>568</v>
      </c>
      <c r="E493" s="13" t="str">
        <f>IFERROR(VLOOKUP($D493,Insumos!$B:$U,D$1,0),"")</f>
        <v>Grs</v>
      </c>
      <c r="F493" s="70">
        <f>225/4</f>
        <v>56.25</v>
      </c>
      <c r="G493" s="70">
        <f>IFERROR(VLOOKUP($D493,Insumos!$B:$U,G$1,0)/VLOOKUP($D493,Insumos!$B:$U,F$1,0),"")</f>
        <v>11</v>
      </c>
      <c r="H493" s="70">
        <f t="shared" si="66"/>
        <v>618.75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3">
        <f t="shared" si="281"/>
        <v>43</v>
      </c>
      <c r="C494" s="13" t="str">
        <f t="shared" si="282"/>
        <v>desayuno opcion3</v>
      </c>
      <c r="D494" s="13" t="s">
        <v>496</v>
      </c>
      <c r="E494" s="13" t="str">
        <f>IFERROR(VLOOKUP($D494,Insumos!$B:$U,D$1,0),"")</f>
        <v>Cm3</v>
      </c>
      <c r="F494" s="70">
        <f>125/4</f>
        <v>31.25</v>
      </c>
      <c r="G494" s="70">
        <f>IFERROR(VLOOKUP($D494,Insumos!$B:$U,G$1,0)/VLOOKUP($D494,Insumos!$B:$U,F$1,0),"")</f>
        <v>2.1</v>
      </c>
      <c r="H494" s="70">
        <f t="shared" si="66"/>
        <v>65.625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3">
        <f t="shared" si="281"/>
        <v>43</v>
      </c>
      <c r="C495" s="13" t="str">
        <f t="shared" si="282"/>
        <v>desayuno opcion3</v>
      </c>
      <c r="D495" s="13" t="s">
        <v>569</v>
      </c>
      <c r="E495" s="13" t="str">
        <f>IFERROR(VLOOKUP($D495,Insumos!$B:$U,D$1,0),"")</f>
        <v>Unidad</v>
      </c>
      <c r="F495" s="70">
        <v>1.0</v>
      </c>
      <c r="G495" s="70">
        <f>IFERROR(VLOOKUP($D495,Insumos!$B:$U,G$1,0)/VLOOKUP($D495,Insumos!$B:$U,F$1,0),"")</f>
        <v>166.6666667</v>
      </c>
      <c r="H495" s="70">
        <f t="shared" si="66"/>
        <v>166.6666667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3">
        <f t="shared" si="281"/>
        <v>43</v>
      </c>
      <c r="C496" s="13" t="str">
        <f t="shared" si="282"/>
        <v>desayuno opcion3</v>
      </c>
      <c r="D496" s="13" t="s">
        <v>528</v>
      </c>
      <c r="E496" s="13" t="str">
        <f>IFERROR(VLOOKUP($D496,Insumos!$B:$U,D$1,0),"")</f>
        <v>Grs</v>
      </c>
      <c r="F496" s="70">
        <v>3.0</v>
      </c>
      <c r="G496" s="70">
        <f>IFERROR(VLOOKUP($D496,Insumos!$B:$U,G$1,0)/VLOOKUP($D496,Insumos!$B:$U,F$1,0),"")</f>
        <v>8</v>
      </c>
      <c r="H496" s="70">
        <f t="shared" si="66"/>
        <v>24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3">
        <f t="shared" si="281"/>
        <v>43</v>
      </c>
      <c r="C497" s="13" t="str">
        <f t="shared" si="282"/>
        <v>desayuno opcion3</v>
      </c>
      <c r="D497" s="13" t="s">
        <v>605</v>
      </c>
      <c r="E497" s="13" t="str">
        <f>IFERROR(VLOOKUP($D497,Insumos!$B:$U,D$1,0),"")</f>
        <v>Unidad</v>
      </c>
      <c r="F497" s="70">
        <v>2.0</v>
      </c>
      <c r="G497" s="70">
        <f>IFERROR(VLOOKUP($D497,Insumos!$B:$U,G$1,0)/VLOOKUP($D497,Insumos!$B:$U,F$1,0),"")</f>
        <v>208.3333333</v>
      </c>
      <c r="H497" s="70">
        <f t="shared" si="66"/>
        <v>416.6666667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3">
        <f t="shared" si="281"/>
        <v>43</v>
      </c>
      <c r="C498" s="13" t="s">
        <v>626</v>
      </c>
      <c r="D498" s="13" t="s">
        <v>584</v>
      </c>
      <c r="E498" s="13" t="str">
        <f>IFERROR(VLOOKUP($D498,Insumos!$B:$U,D$1,0),"")</f>
        <v>Grs</v>
      </c>
      <c r="F498" s="70">
        <v>200.0</v>
      </c>
      <c r="G498" s="70">
        <f>IFERROR(VLOOKUP($D498,Insumos!$B:$U,G$1,0)/VLOOKUP($D498,Insumos!$B:$U,F$1,0),"")</f>
        <v>10</v>
      </c>
      <c r="H498" s="70">
        <f t="shared" si="66"/>
        <v>2000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3">
        <f t="shared" si="281"/>
        <v>43</v>
      </c>
      <c r="C499" s="13" t="str">
        <f t="shared" ref="C499:C500" si="283">IF($D499="","",C498)</f>
        <v>desayuno opcion 3</v>
      </c>
      <c r="D499" s="13" t="s">
        <v>612</v>
      </c>
      <c r="E499" s="13" t="str">
        <f>IFERROR(VLOOKUP($D499,Insumos!$B:$U,D$1,0),"")</f>
        <v>Unidad</v>
      </c>
      <c r="F499" s="70">
        <v>1.0</v>
      </c>
      <c r="G499" s="70">
        <f>IFERROR(VLOOKUP($D499,Insumos!$B:$U,G$1,0)/VLOOKUP($D499,Insumos!$B:$U,F$1,0),"")</f>
        <v>700</v>
      </c>
      <c r="H499" s="70">
        <f t="shared" si="66"/>
        <v>700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3">
        <f t="shared" si="281"/>
        <v>43</v>
      </c>
      <c r="C500" s="13" t="str">
        <f t="shared" si="283"/>
        <v>desayuno opcion 3</v>
      </c>
      <c r="D500" s="13" t="s">
        <v>453</v>
      </c>
      <c r="E500" s="13" t="str">
        <f>IFERROR(VLOOKUP($D500,Insumos!$B:$U,D$1,0),"")</f>
        <v>Unidad</v>
      </c>
      <c r="F500" s="70">
        <v>1.0</v>
      </c>
      <c r="G500" s="70">
        <f>IFERROR(VLOOKUP($D500,Insumos!$B:$U,G$1,0)/VLOOKUP($D500,Insumos!$B:$U,F$1,0),"")</f>
        <v>1900</v>
      </c>
      <c r="H500" s="70">
        <f t="shared" si="66"/>
        <v>1900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3">
        <f t="shared" si="281"/>
        <v>43</v>
      </c>
      <c r="C501" s="13" t="s">
        <v>628</v>
      </c>
      <c r="D501" s="13" t="s">
        <v>426</v>
      </c>
      <c r="E501" s="13" t="str">
        <f>IFERROR(VLOOKUP($D501,Insumos!$B:$U,D$1,0),"")</f>
        <v>Unidad</v>
      </c>
      <c r="F501" s="70">
        <v>1.0</v>
      </c>
      <c r="G501" s="70">
        <f>IFERROR(VLOOKUP($D501,Insumos!$B:$U,G$1,0)/VLOOKUP($D501,Insumos!$B:$U,F$1,0),"")</f>
        <v>975</v>
      </c>
      <c r="H501" s="70">
        <f t="shared" si="66"/>
        <v>975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3">
        <f t="shared" si="281"/>
        <v>43</v>
      </c>
      <c r="C502" s="13" t="str">
        <f>IF($D502="","",C501)</f>
        <v>desayuno ocpion 3</v>
      </c>
      <c r="D502" s="13" t="s">
        <v>522</v>
      </c>
      <c r="E502" s="13" t="str">
        <f>IFERROR(VLOOKUP($D502,Insumos!$B:$U,D$1,0),"")</f>
        <v>Unidad</v>
      </c>
      <c r="F502" s="70">
        <v>1.0</v>
      </c>
      <c r="G502" s="70">
        <f>IFERROR(VLOOKUP($D502,Insumos!$B:$U,G$1,0)/VLOOKUP($D502,Insumos!$B:$U,F$1,0),"")</f>
        <v>11</v>
      </c>
      <c r="H502" s="70">
        <f t="shared" si="66"/>
        <v>11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66">
        <v>44.0</v>
      </c>
      <c r="C503" s="66" t="s">
        <v>629</v>
      </c>
      <c r="D503" s="66" t="s">
        <v>492</v>
      </c>
      <c r="E503" s="66" t="str">
        <f>IFERROR(VLOOKUP($D503,Insumos!$B:$U,D$1,0),"")</f>
        <v>Unidad</v>
      </c>
      <c r="F503" s="67">
        <v>5.0</v>
      </c>
      <c r="G503" s="67">
        <f>IFERROR(VLOOKUP($D503,Insumos!$B:$U,G$1,0)/VLOOKUP($D503,Insumos!$B:$U,F$1,0),"")</f>
        <v>166.6666667</v>
      </c>
      <c r="H503" s="67">
        <f t="shared" si="66"/>
        <v>833.3333333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3">
        <v>44.0</v>
      </c>
      <c r="C504" s="13" t="str">
        <f t="shared" ref="C504:C511" si="284">IF($D504="","",C503)</f>
        <v>Bizcho 20 cm pasta ballina</v>
      </c>
      <c r="D504" s="13" t="s">
        <v>395</v>
      </c>
      <c r="E504" s="13" t="str">
        <f>IFERROR(VLOOKUP($D504,Insumos!$B:$U,D$1,0),"")</f>
        <v>Grs</v>
      </c>
      <c r="F504" s="70">
        <v>350.0</v>
      </c>
      <c r="G504" s="70">
        <f>IFERROR(VLOOKUP($D504,Insumos!$B:$U,G$1,0)/VLOOKUP($D504,Insumos!$B:$U,F$1,0),"")</f>
        <v>1.4</v>
      </c>
      <c r="H504" s="70">
        <f t="shared" si="66"/>
        <v>490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3">
        <f t="shared" ref="B505:B511" si="285">IF($D504="","",B504)</f>
        <v>44</v>
      </c>
      <c r="C505" s="13" t="str">
        <f t="shared" si="284"/>
        <v>Bizcho 20 cm pasta ballina</v>
      </c>
      <c r="D505" s="13" t="s">
        <v>468</v>
      </c>
      <c r="E505" s="13" t="str">
        <f>IFERROR(VLOOKUP($D505,Insumos!$B:$U,D$1,0),"")</f>
        <v>Cm3</v>
      </c>
      <c r="F505" s="70">
        <v>5.0</v>
      </c>
      <c r="G505" s="70">
        <f>IFERROR(VLOOKUP($D505,Insumos!$B:$U,G$1,0)/VLOOKUP($D505,Insumos!$B:$U,F$1,0),"")</f>
        <v>1.52</v>
      </c>
      <c r="H505" s="70">
        <f t="shared" si="66"/>
        <v>7.6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3">
        <f t="shared" si="285"/>
        <v>44</v>
      </c>
      <c r="C506" s="13" t="str">
        <f t="shared" si="284"/>
        <v>Bizcho 20 cm pasta ballina</v>
      </c>
      <c r="D506" s="13" t="s">
        <v>491</v>
      </c>
      <c r="E506" s="13" t="str">
        <f>IFERROR(VLOOKUP($D506,Insumos!$B:$U,D$1,0),"")</f>
        <v>Grs</v>
      </c>
      <c r="F506" s="70">
        <v>350.0</v>
      </c>
      <c r="G506" s="70">
        <f>IFERROR(VLOOKUP($D506,Insumos!$B:$U,G$1,0)/VLOOKUP($D506,Insumos!$B:$U,F$1,0),"")</f>
        <v>1.5</v>
      </c>
      <c r="H506" s="70">
        <f t="shared" si="66"/>
        <v>525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3">
        <f t="shared" si="285"/>
        <v>44</v>
      </c>
      <c r="C507" s="13" t="str">
        <f t="shared" si="284"/>
        <v>Bizcho 20 cm pasta ballina</v>
      </c>
      <c r="D507" s="13" t="s">
        <v>622</v>
      </c>
      <c r="E507" s="13" t="str">
        <f>IFERROR(VLOOKUP($D507,Insumos!$B:$U,D$1,0),"")</f>
        <v>Grs</v>
      </c>
      <c r="F507" s="70">
        <v>750.0</v>
      </c>
      <c r="G507" s="70">
        <f>IFERROR(VLOOKUP($D507,Insumos!$B:$U,G$1,0)/VLOOKUP($D507,Insumos!$B:$U,F$1,0),"")</f>
        <v>8</v>
      </c>
      <c r="H507" s="70">
        <f t="shared" si="66"/>
        <v>6000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3">
        <f t="shared" si="285"/>
        <v>44</v>
      </c>
      <c r="C508" s="13" t="str">
        <f t="shared" si="284"/>
        <v>Bizcho 20 cm pasta ballina</v>
      </c>
      <c r="D508" s="13" t="s">
        <v>598</v>
      </c>
      <c r="E508" s="13" t="str">
        <f>IFERROR(VLOOKUP($D508,Insumos!$B:$U,D$1,0),"")</f>
        <v>Grs</v>
      </c>
      <c r="F508" s="70">
        <f>5*5</f>
        <v>25</v>
      </c>
      <c r="G508" s="70">
        <f>IFERROR(VLOOKUP($D508,Insumos!$B:$U,G$1,0)/VLOOKUP($D508,Insumos!$B:$U,F$1,0),"")</f>
        <v>120</v>
      </c>
      <c r="H508" s="70">
        <f t="shared" si="66"/>
        <v>3000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3">
        <f t="shared" si="285"/>
        <v>44</v>
      </c>
      <c r="C509" s="13" t="str">
        <f t="shared" si="284"/>
        <v>Bizcho 20 cm pasta ballina</v>
      </c>
      <c r="D509" s="13" t="s">
        <v>630</v>
      </c>
      <c r="E509" s="13" t="str">
        <f>IFERROR(VLOOKUP($D509,Insumos!$B:$U,D$1,0),"")</f>
        <v>Grs</v>
      </c>
      <c r="F509" s="70">
        <v>1000.0</v>
      </c>
      <c r="G509" s="70">
        <f>IFERROR(VLOOKUP($D509,Insumos!$B:$U,G$1,0)/VLOOKUP($D509,Insumos!$B:$U,F$1,0),"")</f>
        <v>3.4</v>
      </c>
      <c r="H509" s="70">
        <f t="shared" si="66"/>
        <v>3400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3">
        <f t="shared" si="285"/>
        <v>44</v>
      </c>
      <c r="C510" s="13" t="str">
        <f t="shared" si="284"/>
        <v>Bizcho 20 cm pasta ballina</v>
      </c>
      <c r="D510" s="13" t="s">
        <v>404</v>
      </c>
      <c r="E510" s="13" t="str">
        <f>IFERROR(VLOOKUP($D510,Insumos!$B:$U,D$1,0),"")</f>
        <v>Unidad</v>
      </c>
      <c r="F510" s="70">
        <v>1.0</v>
      </c>
      <c r="G510" s="70">
        <f>IFERROR(VLOOKUP($D510,Insumos!$B:$U,G$1,0)/VLOOKUP($D510,Insumos!$B:$U,F$1,0),"")</f>
        <v>1300</v>
      </c>
      <c r="H510" s="70">
        <f t="shared" si="66"/>
        <v>1300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3">
        <f t="shared" si="285"/>
        <v>44</v>
      </c>
      <c r="C511" s="13" t="str">
        <f t="shared" si="284"/>
        <v>Bizcho 20 cm pasta ballina</v>
      </c>
      <c r="D511" s="13" t="s">
        <v>426</v>
      </c>
      <c r="E511" s="13" t="str">
        <f>IFERROR(VLOOKUP($D511,Insumos!$B:$U,D$1,0),"")</f>
        <v>Unidad</v>
      </c>
      <c r="F511" s="70">
        <v>1.0</v>
      </c>
      <c r="G511" s="70">
        <f>IFERROR(VLOOKUP($D511,Insumos!$B:$U,G$1,0)/VLOOKUP($D511,Insumos!$B:$U,F$1,0),"")</f>
        <v>975</v>
      </c>
      <c r="H511" s="70">
        <f t="shared" si="66"/>
        <v>975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66">
        <v>45.0</v>
      </c>
      <c r="C512" s="66" t="s">
        <v>631</v>
      </c>
      <c r="D512" s="66" t="s">
        <v>568</v>
      </c>
      <c r="E512" s="66" t="str">
        <f>IFERROR(VLOOKUP($D512,Insumos!$B:$U,D$1,0),"")</f>
        <v>Grs</v>
      </c>
      <c r="F512" s="67">
        <f>110*4</f>
        <v>440</v>
      </c>
      <c r="G512" s="67">
        <f>IFERROR(VLOOKUP($D512,Insumos!$B:$U,G$1,0)/VLOOKUP($D512,Insumos!$B:$U,F$1,0),"")</f>
        <v>11</v>
      </c>
      <c r="H512" s="67">
        <f t="shared" si="66"/>
        <v>4840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3">
        <v>45.0</v>
      </c>
      <c r="C513" s="13" t="str">
        <f t="shared" ref="C513:C522" si="286">IF($D513="","",C512)</f>
        <v>brownie 2 number cake</v>
      </c>
      <c r="D513" s="13" t="s">
        <v>395</v>
      </c>
      <c r="E513" s="13" t="str">
        <f>IFERROR(VLOOKUP($D513,Insumos!$B:$U,D$1,0),"")</f>
        <v>Grs</v>
      </c>
      <c r="F513" s="70">
        <f>225*4</f>
        <v>900</v>
      </c>
      <c r="G513" s="70">
        <f>IFERROR(VLOOKUP($D513,Insumos!$B:$U,G$1,0)/VLOOKUP($D513,Insumos!$B:$U,F$1,0),"")</f>
        <v>1.4</v>
      </c>
      <c r="H513" s="70">
        <f t="shared" si="66"/>
        <v>1260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3">
        <f t="shared" ref="B514:B522" si="287">IF($D513="","",B513)</f>
        <v>45</v>
      </c>
      <c r="C514" s="13" t="str">
        <f t="shared" si="286"/>
        <v>brownie 2 number cake</v>
      </c>
      <c r="D514" s="13" t="s">
        <v>492</v>
      </c>
      <c r="E514" s="13" t="str">
        <f>IFERROR(VLOOKUP($D514,Insumos!$B:$U,D$1,0),"")</f>
        <v>Unidad</v>
      </c>
      <c r="F514" s="70">
        <v>12.0</v>
      </c>
      <c r="G514" s="70">
        <f>IFERROR(VLOOKUP($D514,Insumos!$B:$U,G$1,0)/VLOOKUP($D514,Insumos!$B:$U,F$1,0),"")</f>
        <v>166.6666667</v>
      </c>
      <c r="H514" s="70">
        <f t="shared" si="66"/>
        <v>2000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3">
        <f t="shared" si="287"/>
        <v>45</v>
      </c>
      <c r="C515" s="13" t="str">
        <f t="shared" si="286"/>
        <v>brownie 2 number cake</v>
      </c>
      <c r="D515" s="13" t="s">
        <v>454</v>
      </c>
      <c r="E515" s="13" t="str">
        <f>IFERROR(VLOOKUP($D515,Insumos!$B:$U,D$1,0),"")</f>
        <v>Grs</v>
      </c>
      <c r="F515" s="70">
        <v>440.0</v>
      </c>
      <c r="G515" s="70">
        <f>IFERROR(VLOOKUP($D515,Insumos!$B:$U,G$1,0)/VLOOKUP($D515,Insumos!$B:$U,F$1,0),"")</f>
        <v>10</v>
      </c>
      <c r="H515" s="70">
        <f t="shared" si="66"/>
        <v>4400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3">
        <f t="shared" si="287"/>
        <v>45</v>
      </c>
      <c r="C516" s="13" t="str">
        <f t="shared" si="286"/>
        <v>brownie 2 number cake</v>
      </c>
      <c r="D516" s="13" t="s">
        <v>489</v>
      </c>
      <c r="E516" s="13" t="str">
        <f>IFERROR(VLOOKUP($D516,Insumos!$B:$U,D$1,0),"")</f>
        <v>Grs</v>
      </c>
      <c r="F516" s="70">
        <f>65*4</f>
        <v>260</v>
      </c>
      <c r="G516" s="70">
        <f>IFERROR(VLOOKUP($D516,Insumos!$B:$U,G$1,0)/VLOOKUP($D516,Insumos!$B:$U,F$1,0),"")</f>
        <v>0.82</v>
      </c>
      <c r="H516" s="70">
        <f t="shared" si="66"/>
        <v>213.2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3">
        <f t="shared" si="287"/>
        <v>45</v>
      </c>
      <c r="C517" s="13" t="str">
        <f t="shared" si="286"/>
        <v>brownie 2 number cake</v>
      </c>
      <c r="D517" s="13" t="s">
        <v>395</v>
      </c>
      <c r="E517" s="13" t="str">
        <f>IFERROR(VLOOKUP($D517,Insumos!$B:$U,D$1,0),"")</f>
        <v>Grs</v>
      </c>
      <c r="F517" s="70">
        <v>220.0</v>
      </c>
      <c r="G517" s="70">
        <f>IFERROR(VLOOKUP($D517,Insumos!$B:$U,G$1,0)/VLOOKUP($D517,Insumos!$B:$U,F$1,0),"")</f>
        <v>1.4</v>
      </c>
      <c r="H517" s="70">
        <f t="shared" si="66"/>
        <v>308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3">
        <f t="shared" si="287"/>
        <v>45</v>
      </c>
      <c r="C518" s="13" t="str">
        <f t="shared" si="286"/>
        <v>brownie 2 number cake</v>
      </c>
      <c r="D518" s="13" t="s">
        <v>569</v>
      </c>
      <c r="E518" s="13" t="str">
        <f>IFERROR(VLOOKUP($D518,Insumos!$B:$U,D$1,0),"")</f>
        <v>Unidad</v>
      </c>
      <c r="F518" s="70">
        <v>4.0</v>
      </c>
      <c r="G518" s="70">
        <f>IFERROR(VLOOKUP($D518,Insumos!$B:$U,G$1,0)/VLOOKUP($D518,Insumos!$B:$U,F$1,0),"")</f>
        <v>166.6666667</v>
      </c>
      <c r="H518" s="70">
        <f t="shared" si="66"/>
        <v>666.6666667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3">
        <f t="shared" si="287"/>
        <v>45</v>
      </c>
      <c r="C519" s="13" t="str">
        <f t="shared" si="286"/>
        <v>brownie 2 number cake</v>
      </c>
      <c r="D519" s="13" t="s">
        <v>406</v>
      </c>
      <c r="E519" s="13" t="str">
        <f>IFERROR(VLOOKUP($D519,Insumos!$B:$U,D$1,0),"")</f>
        <v>Unidad</v>
      </c>
      <c r="F519" s="70">
        <v>1.0</v>
      </c>
      <c r="G519" s="70">
        <f>IFERROR(VLOOKUP($D519,Insumos!$B:$U,G$1,0)/VLOOKUP($D519,Insumos!$B:$U,F$1,0),"")</f>
        <v>2250</v>
      </c>
      <c r="H519" s="70">
        <f t="shared" si="66"/>
        <v>2250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3">
        <f t="shared" si="287"/>
        <v>45</v>
      </c>
      <c r="C520" s="13" t="str">
        <f t="shared" si="286"/>
        <v>brownie 2 number cake</v>
      </c>
      <c r="D520" s="13" t="s">
        <v>440</v>
      </c>
      <c r="E520" s="13" t="str">
        <f>IFERROR(VLOOKUP($D520,Insumos!$B:$U,D$1,0),"")</f>
        <v>Unidad</v>
      </c>
      <c r="F520" s="70">
        <v>1.0</v>
      </c>
      <c r="G520" s="70">
        <f>IFERROR(VLOOKUP($D520,Insumos!$B:$U,G$1,0)/VLOOKUP($D520,Insumos!$B:$U,F$1,0),"")</f>
        <v>2500</v>
      </c>
      <c r="H520" s="70">
        <f t="shared" si="66"/>
        <v>2500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3">
        <f t="shared" si="287"/>
        <v>45</v>
      </c>
      <c r="C521" s="13" t="str">
        <f t="shared" si="286"/>
        <v>brownie 2 number cake</v>
      </c>
      <c r="D521" s="13" t="s">
        <v>584</v>
      </c>
      <c r="E521" s="13" t="str">
        <f>IFERROR(VLOOKUP($D521,Insumos!$B:$U,D$1,0),"")</f>
        <v>Grs</v>
      </c>
      <c r="F521" s="70">
        <v>400.0</v>
      </c>
      <c r="G521" s="70">
        <f>IFERROR(VLOOKUP($D521,Insumos!$B:$U,G$1,0)/VLOOKUP($D521,Insumos!$B:$U,F$1,0),"")</f>
        <v>10</v>
      </c>
      <c r="H521" s="70">
        <f t="shared" si="66"/>
        <v>4000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3">
        <f t="shared" si="287"/>
        <v>45</v>
      </c>
      <c r="C522" s="13" t="str">
        <f t="shared" si="286"/>
        <v>brownie 2 number cake</v>
      </c>
      <c r="D522" s="13" t="s">
        <v>458</v>
      </c>
      <c r="E522" s="13" t="str">
        <f>IFERROR(VLOOKUP($D522,Insumos!$B:$U,D$1,0),"")</f>
        <v>Grs</v>
      </c>
      <c r="F522" s="70">
        <f>5*5</f>
        <v>25</v>
      </c>
      <c r="G522" s="70">
        <f>IFERROR(VLOOKUP($D522,Insumos!$B:$U,G$1,0)/VLOOKUP($D522,Insumos!$B:$U,F$1,0),"")</f>
        <v>120</v>
      </c>
      <c r="H522" s="70">
        <f t="shared" si="66"/>
        <v>3000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66">
        <v>46.0</v>
      </c>
      <c r="C523" s="66" t="s">
        <v>632</v>
      </c>
      <c r="D523" s="66" t="s">
        <v>584</v>
      </c>
      <c r="E523" s="66" t="str">
        <f>IFERROR(VLOOKUP($D523,Insumos!$B:$U,D$1,0),"")</f>
        <v>Grs</v>
      </c>
      <c r="F523" s="67">
        <v>500.0</v>
      </c>
      <c r="G523" s="67">
        <f>IFERROR(VLOOKUP($D523,Insumos!$B:$U,G$1,0)/VLOOKUP($D523,Insumos!$B:$U,F$1,0),"")</f>
        <v>10</v>
      </c>
      <c r="H523" s="67">
        <f t="shared" si="66"/>
        <v>5000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3">
        <f t="shared" ref="B524:B528" si="288">IF($D523="","",B523)</f>
        <v>46</v>
      </c>
      <c r="C524" s="13" t="str">
        <f t="shared" ref="C524:C528" si="289">IF($D524="","",C523)</f>
        <v>Huevos Rellenos N15 chocotorta</v>
      </c>
      <c r="D524" s="13" t="s">
        <v>455</v>
      </c>
      <c r="E524" s="13" t="str">
        <f>IFERROR(VLOOKUP($D524,Insumos!$B:$U,D$1,0),"")</f>
        <v>Grs</v>
      </c>
      <c r="F524" s="70">
        <v>70.0</v>
      </c>
      <c r="G524" s="70">
        <f>IFERROR(VLOOKUP($D524,Insumos!$B:$U,G$1,0)/VLOOKUP($D524,Insumos!$B:$U,F$1,0),"")</f>
        <v>7.6</v>
      </c>
      <c r="H524" s="70">
        <f t="shared" si="66"/>
        <v>532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3">
        <f t="shared" si="288"/>
        <v>46</v>
      </c>
      <c r="C525" s="13" t="str">
        <f t="shared" si="289"/>
        <v>Huevos Rellenos N15 chocotorta</v>
      </c>
      <c r="D525" s="13" t="s">
        <v>466</v>
      </c>
      <c r="E525" s="13" t="str">
        <f>IFERROR(VLOOKUP($D525,Insumos!$B:$U,D$1,0),"")</f>
        <v>Grs</v>
      </c>
      <c r="F525" s="70">
        <v>100.0</v>
      </c>
      <c r="G525" s="70">
        <f>IFERROR(VLOOKUP($D525,Insumos!$B:$U,G$1,0)/VLOOKUP($D525,Insumos!$B:$U,F$1,0),"")</f>
        <v>3.4</v>
      </c>
      <c r="H525" s="70">
        <f t="shared" si="66"/>
        <v>340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3">
        <f t="shared" si="288"/>
        <v>46</v>
      </c>
      <c r="C526" s="13" t="str">
        <f t="shared" si="289"/>
        <v>Huevos Rellenos N15 chocotorta</v>
      </c>
      <c r="D526" s="13" t="s">
        <v>533</v>
      </c>
      <c r="E526" s="13" t="str">
        <f>IFERROR(VLOOKUP($D526,Insumos!$B:$U,D$1,0),"")</f>
        <v>Grs</v>
      </c>
      <c r="F526" s="70">
        <v>100.0</v>
      </c>
      <c r="G526" s="70">
        <f>IFERROR(VLOOKUP($D526,Insumos!$B:$U,G$1,0)/VLOOKUP($D526,Insumos!$B:$U,F$1,0),"")</f>
        <v>7.428571429</v>
      </c>
      <c r="H526" s="70">
        <f t="shared" si="66"/>
        <v>742.8571429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3">
        <f t="shared" si="288"/>
        <v>46</v>
      </c>
      <c r="C527" s="13" t="str">
        <f t="shared" si="289"/>
        <v>Huevos Rellenos N15 chocotorta</v>
      </c>
      <c r="D527" s="13" t="s">
        <v>464</v>
      </c>
      <c r="E527" s="13" t="str">
        <f>IFERROR(VLOOKUP($D527,Insumos!$B:$U,D$1,0),"")</f>
        <v>Unidad</v>
      </c>
      <c r="F527" s="70">
        <v>1.0</v>
      </c>
      <c r="G527" s="70">
        <f>IFERROR(VLOOKUP($D527,Insumos!$B:$U,G$1,0)/VLOOKUP($D527,Insumos!$B:$U,F$1,0),"")</f>
        <v>53</v>
      </c>
      <c r="H527" s="70">
        <f t="shared" si="66"/>
        <v>53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3">
        <f t="shared" si="288"/>
        <v>46</v>
      </c>
      <c r="C528" s="13" t="str">
        <f t="shared" si="289"/>
        <v>Huevos Rellenos N15 chocotorta</v>
      </c>
      <c r="D528" s="13" t="s">
        <v>471</v>
      </c>
      <c r="E528" s="13" t="str">
        <f>IFERROR(VLOOKUP($D528,Insumos!$B:$U,D$1,0),"")</f>
        <v>Unidad</v>
      </c>
      <c r="F528" s="70">
        <v>1.0</v>
      </c>
      <c r="G528" s="70">
        <f>IFERROR(VLOOKUP($D528,Insumos!$B:$U,G$1,0)/VLOOKUP($D528,Insumos!$B:$U,F$1,0),"")</f>
        <v>12.66666667</v>
      </c>
      <c r="H528" s="70">
        <f t="shared" si="66"/>
        <v>12.66666667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3">
        <f>IF($D526="","",B526)</f>
        <v>46</v>
      </c>
      <c r="C529" s="13" t="str">
        <f>IF($D529="","",C526)</f>
        <v>Huevos Rellenos N15 chocotorta</v>
      </c>
      <c r="D529" s="13" t="s">
        <v>441</v>
      </c>
      <c r="E529" s="13" t="str">
        <f>IFERROR(VLOOKUP($D529,Insumos!$B:$U,D$1,0),"")</f>
        <v>Unidad</v>
      </c>
      <c r="F529" s="70">
        <v>1.0</v>
      </c>
      <c r="G529" s="70">
        <f>IFERROR(VLOOKUP($D529,Insumos!$B:$U,G$1,0)/VLOOKUP($D529,Insumos!$B:$U,F$1,0),"")</f>
        <v>831</v>
      </c>
      <c r="H529" s="70">
        <f t="shared" si="66"/>
        <v>831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66">
        <v>47.0</v>
      </c>
      <c r="C530" s="66" t="s">
        <v>633</v>
      </c>
      <c r="D530" s="66" t="s">
        <v>634</v>
      </c>
      <c r="E530" s="66" t="str">
        <f>IFERROR(VLOOKUP($D530,Insumos!$B:$U,D$1,0),"")</f>
        <v>Grs</v>
      </c>
      <c r="F530" s="67">
        <v>1000.0</v>
      </c>
      <c r="G530" s="111">
        <f>IFERROR(VLOOKUP($D530,Insumos!$B:$U,G$1,0)/VLOOKUP($D530,Insumos!$B:$U,F$1,0),"")</f>
        <v>0.79</v>
      </c>
      <c r="H530" s="67">
        <f t="shared" si="66"/>
        <v>790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3">
        <v>47.0</v>
      </c>
      <c r="C531" s="13" t="str">
        <f t="shared" ref="C531:C533" si="290">IF($D531="","",C530)</f>
        <v>Pan de Molde de Salvado</v>
      </c>
      <c r="D531" s="13" t="s">
        <v>635</v>
      </c>
      <c r="E531" s="13" t="str">
        <f>IFERROR(VLOOKUP($D531,Insumos!$B:$U,D$1,0),"")</f>
        <v>Grs</v>
      </c>
      <c r="F531" s="70">
        <v>100.0</v>
      </c>
      <c r="G531" s="93">
        <f>IFERROR(VLOOKUP($D531,Insumos!$B:$U,G$1,0)/VLOOKUP($D531,Insumos!$B:$U,F$1,0),"")</f>
        <v>1.1</v>
      </c>
      <c r="H531" s="70">
        <f t="shared" si="66"/>
        <v>110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3">
        <f t="shared" ref="B532:B533" si="291">IF($D531="","",B531)</f>
        <v>47</v>
      </c>
      <c r="C532" s="13" t="str">
        <f t="shared" si="290"/>
        <v>Pan de Molde de Salvado</v>
      </c>
      <c r="D532" s="13" t="s">
        <v>636</v>
      </c>
      <c r="E532" s="13" t="str">
        <f>IFERROR(VLOOKUP($D532,Insumos!$B:$U,D$1,0),"")</f>
        <v>Grs</v>
      </c>
      <c r="F532" s="70">
        <v>100.0</v>
      </c>
      <c r="G532" s="70">
        <f>IFERROR(VLOOKUP($D532,Insumos!$B:$U,G$1,0)/VLOOKUP($D532,Insumos!$B:$U,F$1,0),"")</f>
        <v>0.85</v>
      </c>
      <c r="H532" s="70">
        <f t="shared" si="66"/>
        <v>85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3">
        <f t="shared" si="291"/>
        <v>47</v>
      </c>
      <c r="C533" s="13" t="str">
        <f t="shared" si="290"/>
        <v>Pan de Molde de Salvado</v>
      </c>
      <c r="D533" s="13" t="s">
        <v>602</v>
      </c>
      <c r="E533" s="13" t="str">
        <f>IFERROR(VLOOKUP($D533,Insumos!$B:$U,D$1,0),"")</f>
        <v>Grs</v>
      </c>
      <c r="F533" s="70">
        <v>30.0</v>
      </c>
      <c r="G533" s="70">
        <f>IFERROR(VLOOKUP($D533,Insumos!$B:$U,G$1,0)/VLOOKUP($D533,Insumos!$B:$U,F$1,0),"")</f>
        <v>8</v>
      </c>
      <c r="H533" s="70">
        <f t="shared" si="66"/>
        <v>240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66">
        <v>48.0</v>
      </c>
      <c r="C534" s="66" t="s">
        <v>637</v>
      </c>
      <c r="D534" s="66" t="s">
        <v>492</v>
      </c>
      <c r="E534" s="66" t="str">
        <f>IFERROR(VLOOKUP($D534,Insumos!$B:$U,D$1,0),"")</f>
        <v>Unidad</v>
      </c>
      <c r="F534" s="67">
        <v>5.0</v>
      </c>
      <c r="G534" s="67">
        <f>IFERROR(VLOOKUP($D534,Insumos!$B:$U,G$1,0)/VLOOKUP($D534,Insumos!$B:$U,F$1,0),"")</f>
        <v>166.6666667</v>
      </c>
      <c r="H534" s="67">
        <f t="shared" si="66"/>
        <v>833.3333333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3">
        <v>48.0</v>
      </c>
      <c r="C535" s="13" t="str">
        <f t="shared" ref="C535:C545" si="292">IF($D535="","",C534)</f>
        <v>Ferrero Rocher 20cm</v>
      </c>
      <c r="D535" s="13" t="s">
        <v>573</v>
      </c>
      <c r="E535" s="13" t="str">
        <f>IFERROR(VLOOKUP($D535,Insumos!$B:$U,D$1,0),"")</f>
        <v>Grs</v>
      </c>
      <c r="F535" s="70">
        <v>150.0</v>
      </c>
      <c r="G535" s="70">
        <f>IFERROR(VLOOKUP($D535,Insumos!$B:$U,G$1,0)/VLOOKUP($D535,Insumos!$B:$U,F$1,0),"")</f>
        <v>1.4</v>
      </c>
      <c r="H535" s="70">
        <f t="shared" si="66"/>
        <v>210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3">
        <f t="shared" ref="B536:B545" si="293">IF($D535="","",B535)</f>
        <v>48</v>
      </c>
      <c r="C536" s="13" t="str">
        <f t="shared" si="292"/>
        <v>Ferrero Rocher 20cm</v>
      </c>
      <c r="D536" s="13" t="s">
        <v>468</v>
      </c>
      <c r="E536" s="13" t="str">
        <f>IFERROR(VLOOKUP($D536,Insumos!$B:$U,D$1,0),"")</f>
        <v>Cm3</v>
      </c>
      <c r="F536" s="70">
        <v>20.0</v>
      </c>
      <c r="G536" s="70">
        <f>IFERROR(VLOOKUP($D536,Insumos!$B:$U,G$1,0)/VLOOKUP($D536,Insumos!$B:$U,F$1,0),"")</f>
        <v>1.52</v>
      </c>
      <c r="H536" s="70">
        <f t="shared" si="66"/>
        <v>30.4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3">
        <f t="shared" si="293"/>
        <v>48</v>
      </c>
      <c r="C537" s="13" t="str">
        <f t="shared" si="292"/>
        <v>Ferrero Rocher 20cm</v>
      </c>
      <c r="D537" s="13" t="s">
        <v>491</v>
      </c>
      <c r="E537" s="13" t="str">
        <f>IFERROR(VLOOKUP($D537,Insumos!$B:$U,D$1,0),"")</f>
        <v>Grs</v>
      </c>
      <c r="F537" s="70">
        <v>130.0</v>
      </c>
      <c r="G537" s="70">
        <f>IFERROR(VLOOKUP($D537,Insumos!$B:$U,G$1,0)/VLOOKUP($D537,Insumos!$B:$U,F$1,0),"")</f>
        <v>1.5</v>
      </c>
      <c r="H537" s="70">
        <f t="shared" si="66"/>
        <v>195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3">
        <f t="shared" si="293"/>
        <v>48</v>
      </c>
      <c r="C538" s="13" t="str">
        <f t="shared" si="292"/>
        <v>Ferrero Rocher 20cm</v>
      </c>
      <c r="D538" s="13" t="s">
        <v>422</v>
      </c>
      <c r="E538" s="13" t="str">
        <f>IFERROR(VLOOKUP($D538,Insumos!$B:$U,D$1,0),"")</f>
        <v>Grs</v>
      </c>
      <c r="F538" s="70">
        <v>80.0</v>
      </c>
      <c r="G538" s="70">
        <f>IFERROR(VLOOKUP($D538,Insumos!$B:$U,G$1,0)/VLOOKUP($D538,Insumos!$B:$U,F$1,0),"")</f>
        <v>36.11111111</v>
      </c>
      <c r="H538" s="70">
        <f t="shared" si="66"/>
        <v>2888.888889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3">
        <f t="shared" si="293"/>
        <v>48</v>
      </c>
      <c r="C539" s="13" t="str">
        <f t="shared" si="292"/>
        <v>Ferrero Rocher 20cm</v>
      </c>
      <c r="D539" s="13" t="s">
        <v>630</v>
      </c>
      <c r="E539" s="13" t="str">
        <f>IFERROR(VLOOKUP($D539,Insumos!$B:$U,D$1,0),"")</f>
        <v>Grs</v>
      </c>
      <c r="F539" s="70">
        <v>200.0</v>
      </c>
      <c r="G539" s="70">
        <f>IFERROR(VLOOKUP($D539,Insumos!$B:$U,G$1,0)/VLOOKUP($D539,Insumos!$B:$U,F$1,0),"")</f>
        <v>3.4</v>
      </c>
      <c r="H539" s="70">
        <f t="shared" si="66"/>
        <v>680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3">
        <f t="shared" si="293"/>
        <v>48</v>
      </c>
      <c r="C540" s="13" t="str">
        <f t="shared" si="292"/>
        <v>Ferrero Rocher 20cm</v>
      </c>
      <c r="D540" s="13" t="s">
        <v>623</v>
      </c>
      <c r="E540" s="13" t="str">
        <f>IFERROR(VLOOKUP($D540,Insumos!$B:$U,D$1,0),"")</f>
        <v>Grs</v>
      </c>
      <c r="F540" s="70">
        <v>200.0</v>
      </c>
      <c r="G540" s="70">
        <f>IFERROR(VLOOKUP($D540,Insumos!$B:$U,G$1,0)/VLOOKUP($D540,Insumos!$B:$U,F$1,0),"")</f>
        <v>31.42857143</v>
      </c>
      <c r="H540" s="70">
        <f t="shared" si="66"/>
        <v>6285.714286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3">
        <f t="shared" si="293"/>
        <v>48</v>
      </c>
      <c r="C541" s="13" t="str">
        <f t="shared" si="292"/>
        <v>Ferrero Rocher 20cm</v>
      </c>
      <c r="D541" s="13" t="s">
        <v>219</v>
      </c>
      <c r="E541" s="13" t="str">
        <f>IFERROR(VLOOKUP($D541,Insumos!$B:$U,D$1,0),"")</f>
        <v>Unidad</v>
      </c>
      <c r="F541" s="70">
        <v>4.0</v>
      </c>
      <c r="G541" s="70">
        <f>IFERROR(VLOOKUP($D541,Insumos!$B:$U,G$1,0)/VLOOKUP($D541,Insumos!$B:$U,F$1,0),"")</f>
        <v>53.33333333</v>
      </c>
      <c r="H541" s="70">
        <f t="shared" si="66"/>
        <v>213.3333333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3">
        <f t="shared" si="293"/>
        <v>48</v>
      </c>
      <c r="C542" s="13" t="str">
        <f t="shared" si="292"/>
        <v>Ferrero Rocher 20cm</v>
      </c>
      <c r="D542" s="13" t="s">
        <v>638</v>
      </c>
      <c r="E542" s="13" t="str">
        <f>IFERROR(VLOOKUP($D542,Insumos!$B:$U,D$1,0),"")</f>
        <v>Grs</v>
      </c>
      <c r="F542" s="70">
        <v>200.0</v>
      </c>
      <c r="G542" s="70">
        <f>IFERROR(VLOOKUP($D542,Insumos!$B:$U,G$1,0)/VLOOKUP($D542,Insumos!$B:$U,F$1,0),"")</f>
        <v>11</v>
      </c>
      <c r="H542" s="70">
        <f t="shared" si="66"/>
        <v>2200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3">
        <f t="shared" si="293"/>
        <v>48</v>
      </c>
      <c r="C543" s="13" t="str">
        <f t="shared" si="292"/>
        <v>Ferrero Rocher 20cm</v>
      </c>
      <c r="D543" s="13" t="s">
        <v>404</v>
      </c>
      <c r="E543" s="13" t="str">
        <f>IFERROR(VLOOKUP($D543,Insumos!$B:$U,D$1,0),"")</f>
        <v>Unidad</v>
      </c>
      <c r="F543" s="70">
        <v>1.0</v>
      </c>
      <c r="G543" s="70">
        <f>IFERROR(VLOOKUP($D543,Insumos!$B:$U,G$1,0)/VLOOKUP($D543,Insumos!$B:$U,F$1,0),"")</f>
        <v>1300</v>
      </c>
      <c r="H543" s="70">
        <f t="shared" si="66"/>
        <v>1300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3">
        <f t="shared" si="293"/>
        <v>48</v>
      </c>
      <c r="C544" s="13" t="str">
        <f t="shared" si="292"/>
        <v>Ferrero Rocher 20cm</v>
      </c>
      <c r="D544" s="13" t="s">
        <v>426</v>
      </c>
      <c r="E544" s="13" t="str">
        <f>IFERROR(VLOOKUP($D544,Insumos!$B:$U,D$1,0),"")</f>
        <v>Unidad</v>
      </c>
      <c r="F544" s="70">
        <v>1.0</v>
      </c>
      <c r="G544" s="70">
        <f>IFERROR(VLOOKUP($D544,Insumos!$B:$U,G$1,0)/VLOOKUP($D544,Insumos!$B:$U,F$1,0),"")</f>
        <v>975</v>
      </c>
      <c r="H544" s="70">
        <f t="shared" si="66"/>
        <v>975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3">
        <f t="shared" si="293"/>
        <v>48</v>
      </c>
      <c r="C545" s="13" t="str">
        <f t="shared" si="292"/>
        <v>Ferrero Rocher 20cm</v>
      </c>
      <c r="D545" s="13" t="s">
        <v>639</v>
      </c>
      <c r="E545" s="13" t="str">
        <f>IFERROR(VLOOKUP($D545,Insumos!$B:$U,D$1,0),"")</f>
        <v>Grs</v>
      </c>
      <c r="F545" s="70">
        <v>30.0</v>
      </c>
      <c r="G545" s="70">
        <f>IFERROR(VLOOKUP($D545,Insumos!$B:$U,G$1,0)/VLOOKUP($D545,Insumos!$B:$U,F$1,0),"")</f>
        <v>9</v>
      </c>
      <c r="H545" s="70">
        <f t="shared" si="66"/>
        <v>270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66">
        <v>49.0</v>
      </c>
      <c r="C546" s="66" t="s">
        <v>640</v>
      </c>
      <c r="D546" s="66" t="s">
        <v>492</v>
      </c>
      <c r="E546" s="66" t="str">
        <f>IFERROR(VLOOKUP($D546,Insumos!$B:$U,D$1,0),"")</f>
        <v>Unidad</v>
      </c>
      <c r="F546" s="67">
        <v>4.0</v>
      </c>
      <c r="G546" s="67">
        <f>IFERROR(VLOOKUP($D546,Insumos!$B:$U,G$1,0)/VLOOKUP($D546,Insumos!$B:$U,F$1,0),"")</f>
        <v>166.6666667</v>
      </c>
      <c r="H546" s="67">
        <f t="shared" si="66"/>
        <v>666.6666667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3">
        <v>49.0</v>
      </c>
      <c r="C547" s="13" t="str">
        <f t="shared" ref="C547:C554" si="294">IF($D547="","",C546)</f>
        <v>Torta Buttercream 12 cm</v>
      </c>
      <c r="D547" s="13" t="s">
        <v>573</v>
      </c>
      <c r="E547" s="13" t="str">
        <f>IFERROR(VLOOKUP($D547,Insumos!$B:$U,D$1,0),"")</f>
        <v>Grs</v>
      </c>
      <c r="F547" s="70">
        <v>250.0</v>
      </c>
      <c r="G547" s="70">
        <f>IFERROR(VLOOKUP($D547,Insumos!$B:$U,G$1,0)/VLOOKUP($D547,Insumos!$B:$U,F$1,0),"")</f>
        <v>1.4</v>
      </c>
      <c r="H547" s="70">
        <f t="shared" si="66"/>
        <v>350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3">
        <f t="shared" ref="B548:B554" si="295">IF($D547="","",B547)</f>
        <v>49</v>
      </c>
      <c r="C548" s="13" t="str">
        <f t="shared" si="294"/>
        <v>Torta Buttercream 12 cm</v>
      </c>
      <c r="D548" s="13" t="s">
        <v>468</v>
      </c>
      <c r="E548" s="13" t="str">
        <f>IFERROR(VLOOKUP($D548,Insumos!$B:$U,D$1,0),"")</f>
        <v>Cm3</v>
      </c>
      <c r="F548" s="70">
        <v>12.0</v>
      </c>
      <c r="G548" s="70">
        <f>IFERROR(VLOOKUP($D548,Insumos!$B:$U,G$1,0)/VLOOKUP($D548,Insumos!$B:$U,F$1,0),"")</f>
        <v>1.52</v>
      </c>
      <c r="H548" s="70">
        <f t="shared" si="66"/>
        <v>18.24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3">
        <f t="shared" si="295"/>
        <v>49</v>
      </c>
      <c r="C549" s="13" t="str">
        <f t="shared" si="294"/>
        <v>Torta Buttercream 12 cm</v>
      </c>
      <c r="D549" s="13" t="s">
        <v>489</v>
      </c>
      <c r="E549" s="13" t="str">
        <f>IFERROR(VLOOKUP($D549,Insumos!$B:$U,D$1,0),"")</f>
        <v>Grs</v>
      </c>
      <c r="F549" s="70">
        <v>250.0</v>
      </c>
      <c r="G549" s="70">
        <f>IFERROR(VLOOKUP($D549,Insumos!$B:$U,G$1,0)/VLOOKUP($D549,Insumos!$B:$U,F$1,0),"")</f>
        <v>0.82</v>
      </c>
      <c r="H549" s="70">
        <f t="shared" si="66"/>
        <v>205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3">
        <f t="shared" si="295"/>
        <v>49</v>
      </c>
      <c r="C550" s="13" t="str">
        <f t="shared" si="294"/>
        <v>Torta Buttercream 12 cm</v>
      </c>
      <c r="D550" s="13" t="s">
        <v>568</v>
      </c>
      <c r="E550" s="13" t="str">
        <f>IFERROR(VLOOKUP($D550,Insumos!$B:$U,D$1,0),"")</f>
        <v>Grs</v>
      </c>
      <c r="F550" s="70">
        <v>750.0</v>
      </c>
      <c r="G550" s="70">
        <f>IFERROR(VLOOKUP($D550,Insumos!$B:$U,G$1,0)/VLOOKUP($D550,Insumos!$B:$U,F$1,0),"")</f>
        <v>11</v>
      </c>
      <c r="H550" s="70">
        <f t="shared" si="66"/>
        <v>8250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3">
        <f t="shared" si="295"/>
        <v>49</v>
      </c>
      <c r="C551" s="13" t="str">
        <f t="shared" si="294"/>
        <v>Torta Buttercream 12 cm</v>
      </c>
      <c r="D551" s="13" t="s">
        <v>397</v>
      </c>
      <c r="E551" s="13" t="str">
        <f>IFERROR(VLOOKUP($D551,Insumos!$B:$U,D$1,0),"")</f>
        <v>Grs</v>
      </c>
      <c r="F551" s="70">
        <v>1000.0</v>
      </c>
      <c r="G551" s="70">
        <f>IFERROR(VLOOKUP($D551,Insumos!$B:$U,G$1,0)/VLOOKUP($D551,Insumos!$B:$U,F$1,0),"")</f>
        <v>1.5</v>
      </c>
      <c r="H551" s="70">
        <f t="shared" si="66"/>
        <v>1500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3">
        <f t="shared" si="295"/>
        <v>49</v>
      </c>
      <c r="C552" s="13" t="str">
        <f t="shared" si="294"/>
        <v>Torta Buttercream 12 cm</v>
      </c>
      <c r="D552" s="13" t="s">
        <v>504</v>
      </c>
      <c r="E552" s="13" t="str">
        <f>IFERROR(VLOOKUP($D552,Insumos!$B:$U,D$1,0),"")</f>
        <v>Unidad</v>
      </c>
      <c r="F552" s="70">
        <v>2.0</v>
      </c>
      <c r="G552" s="70">
        <f>IFERROR(VLOOKUP($D552,Insumos!$B:$U,G$1,0)/VLOOKUP($D552,Insumos!$B:$U,F$1,0),"")</f>
        <v>400</v>
      </c>
      <c r="H552" s="70">
        <f t="shared" si="66"/>
        <v>800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3">
        <f t="shared" si="295"/>
        <v>49</v>
      </c>
      <c r="C553" s="13" t="str">
        <f t="shared" si="294"/>
        <v>Torta Buttercream 12 cm</v>
      </c>
      <c r="D553" s="13" t="s">
        <v>404</v>
      </c>
      <c r="E553" s="13" t="str">
        <f>IFERROR(VLOOKUP($D553,Insumos!$B:$U,D$1,0),"")</f>
        <v>Unidad</v>
      </c>
      <c r="F553" s="70">
        <v>1.0</v>
      </c>
      <c r="G553" s="70">
        <f>IFERROR(VLOOKUP($D553,Insumos!$B:$U,G$1,0)/VLOOKUP($D553,Insumos!$B:$U,F$1,0),"")</f>
        <v>1300</v>
      </c>
      <c r="H553" s="70">
        <f t="shared" si="66"/>
        <v>1300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3">
        <f t="shared" si="295"/>
        <v>49</v>
      </c>
      <c r="C554" s="13" t="str">
        <f t="shared" si="294"/>
        <v>Torta Buttercream 12 cm</v>
      </c>
      <c r="D554" s="13" t="s">
        <v>430</v>
      </c>
      <c r="E554" s="13" t="str">
        <f>IFERROR(VLOOKUP($D554,Insumos!$B:$U,D$1,0),"")</f>
        <v>Unidad</v>
      </c>
      <c r="F554" s="70">
        <v>1.0</v>
      </c>
      <c r="G554" s="70">
        <f>IFERROR(VLOOKUP($D554,Insumos!$B:$U,G$1,0)/VLOOKUP($D554,Insumos!$B:$U,F$1,0),"")</f>
        <v>1400</v>
      </c>
      <c r="H554" s="70">
        <f t="shared" si="66"/>
        <v>1400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66">
        <v>50.0</v>
      </c>
      <c r="C555" s="66" t="s">
        <v>641</v>
      </c>
      <c r="D555" s="66" t="s">
        <v>492</v>
      </c>
      <c r="E555" s="66" t="str">
        <f>IFERROR(VLOOKUP($D555,Insumos!$B:$U,D$1,0),"")</f>
        <v>Unidad</v>
      </c>
      <c r="F555" s="67">
        <v>6.0</v>
      </c>
      <c r="G555" s="67">
        <f>IFERROR(VLOOKUP($D555,Insumos!$B:$U,G$1,0)/VLOOKUP($D555,Insumos!$B:$U,F$1,0),"")</f>
        <v>166.6666667</v>
      </c>
      <c r="H555" s="67">
        <f t="shared" si="66"/>
        <v>1000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3">
        <v>50.0</v>
      </c>
      <c r="C556" s="13" t="str">
        <f t="shared" ref="C556:C564" si="296">IF($D556="","",C555)</f>
        <v>Balcarce 16 cm </v>
      </c>
      <c r="D556" s="13" t="s">
        <v>573</v>
      </c>
      <c r="E556" s="13" t="str">
        <f>IFERROR(VLOOKUP($D556,Insumos!$B:$U,D$1,0),"")</f>
        <v>Grs</v>
      </c>
      <c r="F556" s="70">
        <v>150.0</v>
      </c>
      <c r="G556" s="70">
        <f>IFERROR(VLOOKUP($D556,Insumos!$B:$U,G$1,0)/VLOOKUP($D556,Insumos!$B:$U,F$1,0),"")</f>
        <v>1.4</v>
      </c>
      <c r="H556" s="70">
        <f t="shared" si="66"/>
        <v>210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3">
        <f t="shared" ref="B557:B564" si="297">IF($D556="","",B556)</f>
        <v>50</v>
      </c>
      <c r="C557" s="13" t="str">
        <f t="shared" si="296"/>
        <v>Balcarce 16 cm </v>
      </c>
      <c r="D557" s="13" t="s">
        <v>468</v>
      </c>
      <c r="E557" s="13" t="str">
        <f>IFERROR(VLOOKUP($D557,Insumos!$B:$U,D$1,0),"")</f>
        <v>Cm3</v>
      </c>
      <c r="F557" s="70">
        <v>12.0</v>
      </c>
      <c r="G557" s="70">
        <f>IFERROR(VLOOKUP($D557,Insumos!$B:$U,G$1,0)/VLOOKUP($D557,Insumos!$B:$U,F$1,0),"")</f>
        <v>1.52</v>
      </c>
      <c r="H557" s="70">
        <f t="shared" si="66"/>
        <v>18.24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3">
        <f t="shared" si="297"/>
        <v>50</v>
      </c>
      <c r="C558" s="13" t="str">
        <f t="shared" si="296"/>
        <v>Balcarce 16 cm </v>
      </c>
      <c r="D558" s="13" t="s">
        <v>491</v>
      </c>
      <c r="E558" s="13" t="str">
        <f>IFERROR(VLOOKUP($D558,Insumos!$B:$U,D$1,0),"")</f>
        <v>Grs</v>
      </c>
      <c r="F558" s="70">
        <v>150.0</v>
      </c>
      <c r="G558" s="70">
        <f>IFERROR(VLOOKUP($D558,Insumos!$B:$U,G$1,0)/VLOOKUP($D558,Insumos!$B:$U,F$1,0),"")</f>
        <v>1.5</v>
      </c>
      <c r="H558" s="70">
        <f t="shared" si="66"/>
        <v>225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3">
        <f t="shared" si="297"/>
        <v>50</v>
      </c>
      <c r="C559" s="13" t="str">
        <f t="shared" si="296"/>
        <v>Balcarce 16 cm </v>
      </c>
      <c r="D559" s="13" t="s">
        <v>630</v>
      </c>
      <c r="E559" s="13" t="str">
        <f>IFERROR(VLOOKUP($D559,Insumos!$B:$U,D$1,0),"")</f>
        <v>Grs</v>
      </c>
      <c r="F559" s="70">
        <v>200.0</v>
      </c>
      <c r="G559" s="70">
        <f>IFERROR(VLOOKUP($D559,Insumos!$B:$U,G$1,0)/VLOOKUP($D559,Insumos!$B:$U,F$1,0),"")</f>
        <v>3.4</v>
      </c>
      <c r="H559" s="70">
        <f t="shared" si="66"/>
        <v>680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3">
        <f t="shared" si="297"/>
        <v>50</v>
      </c>
      <c r="C560" s="13" t="str">
        <f t="shared" si="296"/>
        <v>Balcarce 16 cm </v>
      </c>
      <c r="D560" s="13" t="s">
        <v>642</v>
      </c>
      <c r="E560" s="13" t="str">
        <f>IFERROR(VLOOKUP($D560,Insumos!$B:$U,D$1,0),"")</f>
        <v>Grs</v>
      </c>
      <c r="F560" s="70">
        <v>200.0</v>
      </c>
      <c r="G560" s="70">
        <f>IFERROR(VLOOKUP($D560,Insumos!$B:$U,G$1,0)/VLOOKUP($D560,Insumos!$B:$U,F$1,0),"")</f>
        <v>9.2</v>
      </c>
      <c r="H560" s="70">
        <f t="shared" si="66"/>
        <v>1840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3">
        <f t="shared" si="297"/>
        <v>50</v>
      </c>
      <c r="C561" s="13" t="str">
        <f t="shared" si="296"/>
        <v>Balcarce 16 cm </v>
      </c>
      <c r="D561" s="13" t="s">
        <v>643</v>
      </c>
      <c r="E561" s="13" t="str">
        <f>IFERROR(VLOOKUP($D561,Insumos!$B:$U,D$1,0),"")</f>
        <v>Unidad</v>
      </c>
      <c r="F561" s="70">
        <v>1.0</v>
      </c>
      <c r="G561" s="70">
        <f>IFERROR(VLOOKUP($D561,Insumos!$B:$U,G$1,0)/VLOOKUP($D561,Insumos!$B:$U,F$1,0),"")</f>
        <v>2000</v>
      </c>
      <c r="H561" s="70">
        <f t="shared" si="66"/>
        <v>2000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3">
        <f t="shared" si="297"/>
        <v>50</v>
      </c>
      <c r="C562" s="13" t="str">
        <f t="shared" si="296"/>
        <v>Balcarce 16 cm </v>
      </c>
      <c r="D562" s="13" t="s">
        <v>404</v>
      </c>
      <c r="E562" s="13" t="str">
        <f>IFERROR(VLOOKUP($D562,Insumos!$B:$U,D$1,0),"")</f>
        <v>Unidad</v>
      </c>
      <c r="F562" s="70">
        <v>1.0</v>
      </c>
      <c r="G562" s="70">
        <f>IFERROR(VLOOKUP($D562,Insumos!$B:$U,G$1,0)/VLOOKUP($D562,Insumos!$B:$U,F$1,0),"")</f>
        <v>1300</v>
      </c>
      <c r="H562" s="70">
        <f t="shared" si="66"/>
        <v>1300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3">
        <f t="shared" si="297"/>
        <v>50</v>
      </c>
      <c r="C563" s="13" t="str">
        <f t="shared" si="296"/>
        <v>Balcarce 16 cm </v>
      </c>
      <c r="D563" s="13" t="s">
        <v>426</v>
      </c>
      <c r="E563" s="13" t="str">
        <f>IFERROR(VLOOKUP($D563,Insumos!$B:$U,D$1,0),"")</f>
        <v>Unidad</v>
      </c>
      <c r="F563" s="70">
        <v>1.0</v>
      </c>
      <c r="G563" s="70">
        <f>IFERROR(VLOOKUP($D563,Insumos!$B:$U,G$1,0)/VLOOKUP($D563,Insumos!$B:$U,F$1,0),"")</f>
        <v>975</v>
      </c>
      <c r="H563" s="70">
        <f t="shared" si="66"/>
        <v>975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3">
        <f t="shared" si="297"/>
        <v>50</v>
      </c>
      <c r="C564" s="13" t="str">
        <f t="shared" si="296"/>
        <v>Balcarce 16 cm </v>
      </c>
      <c r="D564" s="13" t="s">
        <v>644</v>
      </c>
      <c r="E564" s="13" t="str">
        <f>IFERROR(VLOOKUP($D564,Insumos!$B:$U,D$1,0),"")</f>
        <v>Grs</v>
      </c>
      <c r="F564" s="70">
        <v>300.0</v>
      </c>
      <c r="G564" s="70">
        <f>IFERROR(VLOOKUP($D564,Insumos!$B:$U,G$1,0)/VLOOKUP($D564,Insumos!$B:$U,F$1,0),"")</f>
        <v>23</v>
      </c>
      <c r="H564" s="70">
        <f t="shared" si="66"/>
        <v>6900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66">
        <v>51.0</v>
      </c>
      <c r="C565" s="66" t="s">
        <v>645</v>
      </c>
      <c r="D565" s="66" t="s">
        <v>634</v>
      </c>
      <c r="E565" s="66" t="str">
        <f>IFERROR(VLOOKUP($D565,Insumos!$B:$U,D$1,0),"")</f>
        <v>Grs</v>
      </c>
      <c r="F565" s="67">
        <v>500.0</v>
      </c>
      <c r="G565" s="111">
        <f>IFERROR(VLOOKUP($D565,Insumos!$B:$U,G$1,0)/VLOOKUP($D565,Insumos!$B:$U,F$1,0),"")</f>
        <v>0.79</v>
      </c>
      <c r="H565" s="67">
        <f t="shared" si="66"/>
        <v>395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3">
        <v>51.0</v>
      </c>
      <c r="C566" s="13" t="str">
        <f t="shared" ref="C566:C570" si="298">IF($D566="","",C565)</f>
        <v>Panes Saborizados 740 gr</v>
      </c>
      <c r="D566" s="13" t="s">
        <v>646</v>
      </c>
      <c r="E566" s="13" t="str">
        <f>IFERROR(VLOOKUP($D566,Insumos!$B:$U,D$1,0),"")</f>
        <v>Grs</v>
      </c>
      <c r="F566" s="70">
        <v>10.0</v>
      </c>
      <c r="G566" s="70">
        <f>IFERROR(VLOOKUP($D566,Insumos!$B:$U,G$1,0)/VLOOKUP($D566,Insumos!$B:$U,F$1,0),"")</f>
        <v>7</v>
      </c>
      <c r="H566" s="70">
        <f t="shared" si="66"/>
        <v>70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3">
        <f t="shared" ref="B567:B570" si="299">IF($D566="","",B566)</f>
        <v>51</v>
      </c>
      <c r="C567" s="13" t="str">
        <f t="shared" si="298"/>
        <v>Panes Saborizados 740 gr</v>
      </c>
      <c r="D567" s="13" t="s">
        <v>602</v>
      </c>
      <c r="E567" s="13" t="str">
        <f>IFERROR(VLOOKUP($D567,Insumos!$B:$U,D$1,0),"")</f>
        <v>Grs</v>
      </c>
      <c r="F567" s="70">
        <v>25.0</v>
      </c>
      <c r="G567" s="70">
        <f>IFERROR(VLOOKUP($D567,Insumos!$B:$U,G$1,0)/VLOOKUP($D567,Insumos!$B:$U,F$1,0),"")</f>
        <v>8</v>
      </c>
      <c r="H567" s="70">
        <f t="shared" si="66"/>
        <v>200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3">
        <f t="shared" si="299"/>
        <v>51</v>
      </c>
      <c r="C568" s="13" t="str">
        <f t="shared" si="298"/>
        <v>Panes Saborizados 740 gr</v>
      </c>
      <c r="D568" s="13" t="s">
        <v>568</v>
      </c>
      <c r="E568" s="13" t="str">
        <f>IFERROR(VLOOKUP($D568,Insumos!$B:$U,D$1,0),"")</f>
        <v>Grs</v>
      </c>
      <c r="F568" s="70">
        <v>50.0</v>
      </c>
      <c r="G568" s="70">
        <f>IFERROR(VLOOKUP($D568,Insumos!$B:$U,G$1,0)/VLOOKUP($D568,Insumos!$B:$U,F$1,0),"")</f>
        <v>11</v>
      </c>
      <c r="H568" s="70">
        <f t="shared" si="66"/>
        <v>550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3">
        <f t="shared" si="299"/>
        <v>51</v>
      </c>
      <c r="C569" s="13" t="str">
        <f t="shared" si="298"/>
        <v>Panes Saborizados 740 gr</v>
      </c>
      <c r="D569" s="13" t="s">
        <v>647</v>
      </c>
      <c r="E569" s="13" t="str">
        <f>IFERROR(VLOOKUP($D569,Insumos!$B:$U,D$1,0),"")</f>
        <v>Grs</v>
      </c>
      <c r="F569" s="70">
        <v>20.0</v>
      </c>
      <c r="G569" s="70">
        <f>IFERROR(VLOOKUP($D569,Insumos!$B:$U,G$1,0)/VLOOKUP($D569,Insumos!$B:$U,F$1,0),"")</f>
        <v>9</v>
      </c>
      <c r="H569" s="70">
        <f t="shared" si="66"/>
        <v>180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3">
        <f t="shared" si="299"/>
        <v>51</v>
      </c>
      <c r="C570" s="13" t="str">
        <f t="shared" si="298"/>
        <v>Panes Saborizados 740 gr</v>
      </c>
      <c r="D570" s="13" t="s">
        <v>648</v>
      </c>
      <c r="E570" s="13" t="str">
        <f>IFERROR(VLOOKUP($D570,Insumos!$B:$U,D$1,0),"")</f>
        <v>Grs</v>
      </c>
      <c r="F570" s="70">
        <v>3.0</v>
      </c>
      <c r="G570" s="70">
        <f>IFERROR(VLOOKUP($D570,Insumos!$B:$U,G$1,0)/VLOOKUP($D570,Insumos!$B:$U,F$1,0),"")</f>
        <v>2.2</v>
      </c>
      <c r="H570" s="70">
        <f t="shared" si="66"/>
        <v>6.6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66">
        <v>52.0</v>
      </c>
      <c r="C571" s="66" t="s">
        <v>649</v>
      </c>
      <c r="D571" s="66" t="s">
        <v>395</v>
      </c>
      <c r="E571" s="66" t="str">
        <f>IFERROR(VLOOKUP($D571,Insumos!$B:$U,D$1,0),"")</f>
        <v>Grs</v>
      </c>
      <c r="F571" s="67">
        <v>100.0</v>
      </c>
      <c r="G571" s="67">
        <f>IFERROR(VLOOKUP($D571,Insumos!$B:$U,G$1,0)/VLOOKUP($D571,Insumos!$B:$U,F$1,0),"")</f>
        <v>1.4</v>
      </c>
      <c r="H571" s="67">
        <f t="shared" si="66"/>
        <v>140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3">
        <v>52.0</v>
      </c>
      <c r="C572" s="13" t="str">
        <f t="shared" ref="C572:C578" si="300">IF($D572="","",C571)</f>
        <v>Mini Budin (redondo) citricio </v>
      </c>
      <c r="D572" s="13" t="s">
        <v>568</v>
      </c>
      <c r="E572" s="13" t="str">
        <f>IFERROR(VLOOKUP($D572,Insumos!$B:$U,D$1,0),"")</f>
        <v>Grs</v>
      </c>
      <c r="F572" s="70">
        <v>100.0</v>
      </c>
      <c r="G572" s="70">
        <f>IFERROR(VLOOKUP($D572,Insumos!$B:$U,G$1,0)/VLOOKUP($D572,Insumos!$B:$U,F$1,0),"")</f>
        <v>11</v>
      </c>
      <c r="H572" s="70">
        <f t="shared" si="66"/>
        <v>1100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3">
        <f t="shared" ref="B573:B578" si="301">IF($D572="","",B572)</f>
        <v>52</v>
      </c>
      <c r="C573" s="13" t="str">
        <f t="shared" si="300"/>
        <v>Mini Budin (redondo) citricio </v>
      </c>
      <c r="D573" s="13" t="s">
        <v>492</v>
      </c>
      <c r="E573" s="13" t="str">
        <f>IFERROR(VLOOKUP($D573,Insumos!$B:$U,D$1,0),"")</f>
        <v>Unidad</v>
      </c>
      <c r="F573" s="70">
        <v>2.0</v>
      </c>
      <c r="G573" s="70">
        <f>IFERROR(VLOOKUP($D573,Insumos!$B:$U,G$1,0)/VLOOKUP($D573,Insumos!$B:$U,F$1,0),"")</f>
        <v>166.6666667</v>
      </c>
      <c r="H573" s="70">
        <f t="shared" si="66"/>
        <v>333.3333333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3">
        <f t="shared" si="301"/>
        <v>52</v>
      </c>
      <c r="C574" s="13" t="str">
        <f t="shared" si="300"/>
        <v>Mini Budin (redondo) citricio </v>
      </c>
      <c r="D574" s="13" t="s">
        <v>500</v>
      </c>
      <c r="E574" s="13" t="str">
        <f>IFERROR(VLOOKUP($D574,Insumos!$B:$U,D$1,0),"")</f>
        <v>Unidad</v>
      </c>
      <c r="F574" s="70">
        <v>2.0</v>
      </c>
      <c r="G574" s="70">
        <f>IFERROR(VLOOKUP($D574,Insumos!$B:$U,G$1,0)/VLOOKUP($D574,Insumos!$B:$U,F$1,0),"")</f>
        <v>180</v>
      </c>
      <c r="H574" s="70">
        <f t="shared" si="66"/>
        <v>360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3">
        <f t="shared" si="301"/>
        <v>52</v>
      </c>
      <c r="C575" s="13" t="str">
        <f t="shared" si="300"/>
        <v>Mini Budin (redondo) citricio </v>
      </c>
      <c r="D575" s="13" t="s">
        <v>491</v>
      </c>
      <c r="E575" s="13" t="str">
        <f>IFERROR(VLOOKUP($D575,Insumos!$B:$U,D$1,0),"")</f>
        <v>Grs</v>
      </c>
      <c r="F575" s="70">
        <v>135.0</v>
      </c>
      <c r="G575" s="70">
        <f>IFERROR(VLOOKUP($D575,Insumos!$B:$U,G$1,0)/VLOOKUP($D575,Insumos!$B:$U,F$1,0),"")</f>
        <v>1.5</v>
      </c>
      <c r="H575" s="70">
        <f t="shared" si="66"/>
        <v>202.5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3">
        <f t="shared" si="301"/>
        <v>52</v>
      </c>
      <c r="C576" s="13" t="str">
        <f t="shared" si="300"/>
        <v>Mini Budin (redondo) citricio </v>
      </c>
      <c r="D576" s="13" t="s">
        <v>403</v>
      </c>
      <c r="E576" s="13" t="str">
        <f>IFERROR(VLOOKUP($D576,Insumos!$B:$U,D$1,0),"")</f>
        <v>Unidad</v>
      </c>
      <c r="F576" s="70">
        <v>1.0</v>
      </c>
      <c r="G576" s="70">
        <f>IFERROR(VLOOKUP($D576,Insumos!$B:$U,G$1,0)/VLOOKUP($D576,Insumos!$B:$U,F$1,0),"")</f>
        <v>10.2</v>
      </c>
      <c r="H576" s="70">
        <f t="shared" si="66"/>
        <v>10.2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3">
        <f t="shared" si="301"/>
        <v>52</v>
      </c>
      <c r="C577" s="13" t="str">
        <f t="shared" si="300"/>
        <v>Mini Budin (redondo) citricio </v>
      </c>
      <c r="D577" s="13" t="s">
        <v>436</v>
      </c>
      <c r="E577" s="13" t="str">
        <f>IFERROR(VLOOKUP($D577,Insumos!$B:$U,D$1,0),"")</f>
        <v>Unidad</v>
      </c>
      <c r="F577" s="70">
        <v>1.0</v>
      </c>
      <c r="G577" s="70">
        <f>IFERROR(VLOOKUP($D577,Insumos!$B:$U,G$1,0)/VLOOKUP($D577,Insumos!$B:$U,F$1,0),"")</f>
        <v>291</v>
      </c>
      <c r="H577" s="70">
        <f t="shared" si="66"/>
        <v>291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3">
        <f t="shared" si="301"/>
        <v>52</v>
      </c>
      <c r="C578" s="13" t="str">
        <f t="shared" si="300"/>
        <v>Mini Budin (redondo) citricio </v>
      </c>
      <c r="D578" s="13" t="s">
        <v>397</v>
      </c>
      <c r="E578" s="13" t="str">
        <f>IFERROR(VLOOKUP($D578,Insumos!$B:$U,D$1,0),"")</f>
        <v>Grs</v>
      </c>
      <c r="F578" s="70">
        <v>50.0</v>
      </c>
      <c r="G578" s="70">
        <f>IFERROR(VLOOKUP($D578,Insumos!$B:$U,G$1,0)/VLOOKUP($D578,Insumos!$B:$U,F$1,0),"")</f>
        <v>1.5</v>
      </c>
      <c r="H578" s="70">
        <f t="shared" si="66"/>
        <v>75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66">
        <v>53.0</v>
      </c>
      <c r="C579" s="112" t="s">
        <v>650</v>
      </c>
      <c r="D579" s="66" t="s">
        <v>505</v>
      </c>
      <c r="E579" s="66" t="str">
        <f>IFERROR(VLOOKUP($D579,Insumos!$B:$U,D$1,0),"")</f>
        <v>Grs</v>
      </c>
      <c r="F579" s="67">
        <v>110.0</v>
      </c>
      <c r="G579" s="67">
        <f>IFERROR(VLOOKUP($D579,Insumos!$B:$U,G$1,0)/VLOOKUP($D579,Insumos!$B:$U,F$1,0),"")</f>
        <v>11</v>
      </c>
      <c r="H579" s="67">
        <f t="shared" si="66"/>
        <v>1210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3">
        <v>53.0</v>
      </c>
      <c r="C580" s="75" t="str">
        <f t="shared" ref="C580:C591" si="302">IF($D580="","",C579)</f>
        <v>Torta brownie 20cm frutos rojos</v>
      </c>
      <c r="D580" s="13" t="s">
        <v>395</v>
      </c>
      <c r="E580" s="13" t="str">
        <f>IFERROR(VLOOKUP($D580,Insumos!$B:$U,D$1,0),"")</f>
        <v>Grs</v>
      </c>
      <c r="F580" s="70">
        <f>225+240+150</f>
        <v>615</v>
      </c>
      <c r="G580" s="70">
        <f>IFERROR(VLOOKUP($D580,Insumos!$B:$U,G$1,0)/VLOOKUP($D580,Insumos!$B:$U,F$1,0),"")</f>
        <v>1.4</v>
      </c>
      <c r="H580" s="70">
        <f t="shared" si="66"/>
        <v>861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3">
        <f t="shared" ref="B581:B591" si="303">IF($D580="","",B580)</f>
        <v>53</v>
      </c>
      <c r="C581" s="75" t="str">
        <f t="shared" si="302"/>
        <v>Torta brownie 20cm frutos rojos</v>
      </c>
      <c r="D581" s="13" t="s">
        <v>492</v>
      </c>
      <c r="E581" s="13" t="str">
        <f>IFERROR(VLOOKUP($D581,Insumos!$B:$U,D$1,0),"")</f>
        <v>Unidad</v>
      </c>
      <c r="F581" s="70">
        <f>3+4</f>
        <v>7</v>
      </c>
      <c r="G581" s="70">
        <f>IFERROR(VLOOKUP($D581,Insumos!$B:$U,G$1,0)/VLOOKUP($D581,Insumos!$B:$U,F$1,0),"")</f>
        <v>166.6666667</v>
      </c>
      <c r="H581" s="70">
        <f t="shared" si="66"/>
        <v>1166.666667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3">
        <f t="shared" si="303"/>
        <v>53</v>
      </c>
      <c r="C582" s="75" t="str">
        <f t="shared" si="302"/>
        <v>Torta brownie 20cm frutos rojos</v>
      </c>
      <c r="D582" s="113" t="s">
        <v>454</v>
      </c>
      <c r="E582" s="13" t="str">
        <f>IFERROR(VLOOKUP($D582,Insumos!$B:$U,D$1,0),"")</f>
        <v>Grs</v>
      </c>
      <c r="F582" s="70">
        <v>110.0</v>
      </c>
      <c r="G582" s="70">
        <f>IFERROR(VLOOKUP($D582,Insumos!$B:$U,G$1,0)/VLOOKUP($D582,Insumos!$B:$U,F$1,0),"")</f>
        <v>10</v>
      </c>
      <c r="H582" s="70">
        <f t="shared" si="66"/>
        <v>1100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3">
        <f t="shared" si="303"/>
        <v>53</v>
      </c>
      <c r="C583" s="75" t="str">
        <f t="shared" si="302"/>
        <v>Torta brownie 20cm frutos rojos</v>
      </c>
      <c r="D583" s="13" t="s">
        <v>422</v>
      </c>
      <c r="E583" s="13" t="str">
        <f>IFERROR(VLOOKUP($D583,Insumos!$B:$U,D$1,0),"")</f>
        <v>Grs</v>
      </c>
      <c r="F583" s="70">
        <v>10.0</v>
      </c>
      <c r="G583" s="70">
        <f>IFERROR(VLOOKUP($D583,Insumos!$B:$U,G$1,0)/VLOOKUP($D583,Insumos!$B:$U,F$1,0),"")</f>
        <v>36.11111111</v>
      </c>
      <c r="H583" s="70">
        <f t="shared" si="66"/>
        <v>361.1111111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3">
        <f t="shared" si="303"/>
        <v>53</v>
      </c>
      <c r="C584" s="75" t="str">
        <f t="shared" si="302"/>
        <v>Torta brownie 20cm frutos rojos</v>
      </c>
      <c r="D584" s="13" t="s">
        <v>489</v>
      </c>
      <c r="E584" s="13" t="str">
        <f>IFERROR(VLOOKUP($D584,Insumos!$B:$U,D$1,0),"")</f>
        <v>Grs</v>
      </c>
      <c r="F584" s="70">
        <v>65.0</v>
      </c>
      <c r="G584" s="70">
        <f>IFERROR(VLOOKUP($D584,Insumos!$B:$U,G$1,0)/VLOOKUP($D584,Insumos!$B:$U,F$1,0),"")</f>
        <v>0.82</v>
      </c>
      <c r="H584" s="70">
        <f t="shared" si="66"/>
        <v>53.3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3">
        <f t="shared" si="303"/>
        <v>53</v>
      </c>
      <c r="C585" s="75" t="str">
        <f t="shared" si="302"/>
        <v>Torta brownie 20cm frutos rojos</v>
      </c>
      <c r="D585" s="13" t="s">
        <v>516</v>
      </c>
      <c r="E585" s="13" t="str">
        <f>IFERROR(VLOOKUP($D585,Insumos!$B:$U,D$1,0),"")</f>
        <v>Grs</v>
      </c>
      <c r="F585" s="70">
        <v>90.0</v>
      </c>
      <c r="G585" s="70">
        <f>IFERROR(VLOOKUP($D585,Insumos!$B:$U,G$1,0)/VLOOKUP($D585,Insumos!$B:$U,F$1,0),"")</f>
        <v>19</v>
      </c>
      <c r="H585" s="70">
        <f t="shared" si="66"/>
        <v>1710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3">
        <f t="shared" si="303"/>
        <v>53</v>
      </c>
      <c r="C586" s="75" t="str">
        <f t="shared" si="302"/>
        <v>Torta brownie 20cm frutos rojos</v>
      </c>
      <c r="D586" s="13" t="s">
        <v>426</v>
      </c>
      <c r="E586" s="13" t="str">
        <f>IFERROR(VLOOKUP($D586,Insumos!$B:$U,D$1,0),"")</f>
        <v>Unidad</v>
      </c>
      <c r="F586" s="70">
        <v>1.0</v>
      </c>
      <c r="G586" s="70">
        <f>IFERROR(VLOOKUP($D586,Insumos!$B:$U,G$1,0)/VLOOKUP($D586,Insumos!$B:$U,F$1,0),"")</f>
        <v>975</v>
      </c>
      <c r="H586" s="70">
        <f t="shared" si="66"/>
        <v>975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3">
        <f t="shared" si="303"/>
        <v>53</v>
      </c>
      <c r="C587" s="75" t="str">
        <f t="shared" si="302"/>
        <v>Torta brownie 20cm frutos rojos</v>
      </c>
      <c r="D587" s="13" t="s">
        <v>401</v>
      </c>
      <c r="E587" s="13" t="str">
        <f>IFERROR(VLOOKUP($D587,Insumos!$B:$U,D$1,0),"")</f>
        <v>Unidad</v>
      </c>
      <c r="F587" s="70">
        <v>1.0</v>
      </c>
      <c r="G587" s="70">
        <f>IFERROR(VLOOKUP($D587,Insumos!$B:$U,G$1,0)/VLOOKUP($D587,Insumos!$B:$U,F$1,0),"")</f>
        <v>1300</v>
      </c>
      <c r="H587" s="70">
        <f t="shared" si="66"/>
        <v>1300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3">
        <f t="shared" si="303"/>
        <v>53</v>
      </c>
      <c r="C588" s="75" t="str">
        <f t="shared" si="302"/>
        <v>Torta brownie 20cm frutos rojos</v>
      </c>
      <c r="D588" s="13" t="s">
        <v>410</v>
      </c>
      <c r="E588" s="13" t="str">
        <f>IFERROR(VLOOKUP($D588,Insumos!$B:$U,D$1,0),"")</f>
        <v>Unidad</v>
      </c>
      <c r="F588" s="70">
        <v>1.0</v>
      </c>
      <c r="G588" s="70">
        <f>IFERROR(VLOOKUP($D588,Insumos!$B:$U,G$1,0)/VLOOKUP($D588,Insumos!$B:$U,F$1,0),"")</f>
        <v>6.25</v>
      </c>
      <c r="H588" s="70">
        <f t="shared" si="66"/>
        <v>6.25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3">
        <f t="shared" si="303"/>
        <v>53</v>
      </c>
      <c r="C589" s="75" t="str">
        <f t="shared" si="302"/>
        <v>Torta brownie 20cm frutos rojos</v>
      </c>
      <c r="D589" s="13" t="s">
        <v>466</v>
      </c>
      <c r="E589" s="13" t="str">
        <f>IFERROR(VLOOKUP($D589,Insumos!$B:$U,D$1,0),"")</f>
        <v>Grs</v>
      </c>
      <c r="F589" s="70">
        <v>500.0</v>
      </c>
      <c r="G589" s="70">
        <f>IFERROR(VLOOKUP($D589,Insumos!$B:$U,G$1,0)/VLOOKUP($D589,Insumos!$B:$U,F$1,0),"")</f>
        <v>3.4</v>
      </c>
      <c r="H589" s="70">
        <f t="shared" si="66"/>
        <v>1700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3">
        <f t="shared" si="303"/>
        <v>53</v>
      </c>
      <c r="C590" s="75" t="str">
        <f t="shared" si="302"/>
        <v>Torta brownie 20cm frutos rojos</v>
      </c>
      <c r="D590" s="13" t="s">
        <v>480</v>
      </c>
      <c r="E590" s="13" t="str">
        <f>IFERROR(VLOOKUP($D590,Insumos!$B:$U,D$1,0),"")</f>
        <v>Grs</v>
      </c>
      <c r="F590" s="70">
        <v>250.0</v>
      </c>
      <c r="G590" s="70">
        <f>IFERROR(VLOOKUP($D590,Insumos!$B:$U,G$1,0)/VLOOKUP($D590,Insumos!$B:$U,F$1,0),"")</f>
        <v>11</v>
      </c>
      <c r="H590" s="70">
        <f t="shared" si="66"/>
        <v>2750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3">
        <f t="shared" si="303"/>
        <v>53</v>
      </c>
      <c r="C591" s="75" t="str">
        <f t="shared" si="302"/>
        <v>Torta brownie 20cm frutos rojos</v>
      </c>
      <c r="D591" s="13" t="s">
        <v>462</v>
      </c>
      <c r="E591" s="13" t="str">
        <f>IFERROR(VLOOKUP($D591,Insumos!$B:$U,D$1,0),"")</f>
        <v>Grs</v>
      </c>
      <c r="F591" s="70">
        <v>150.0</v>
      </c>
      <c r="G591" s="70">
        <f>IFERROR(VLOOKUP($D591,Insumos!$B:$U,G$1,0)/VLOOKUP($D591,Insumos!$B:$U,F$1,0),"")</f>
        <v>9.2</v>
      </c>
      <c r="H591" s="70">
        <f t="shared" si="66"/>
        <v>1380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66">
        <v>54.0</v>
      </c>
      <c r="C592" s="66" t="s">
        <v>651</v>
      </c>
      <c r="D592" s="66" t="s">
        <v>569</v>
      </c>
      <c r="E592" s="66" t="str">
        <f>IFERROR(VLOOKUP($D592,Insumos!$B:$U,D$1,0),"")</f>
        <v>Unidad</v>
      </c>
      <c r="F592" s="67">
        <v>8.0</v>
      </c>
      <c r="G592" s="67">
        <f>IFERROR(VLOOKUP($D592,Insumos!$B:$U,G$1,0)/VLOOKUP($D592,Insumos!$B:$U,F$1,0),"")</f>
        <v>166.6666667</v>
      </c>
      <c r="H592" s="67">
        <f t="shared" si="66"/>
        <v>1333.333333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3">
        <v>54.0</v>
      </c>
      <c r="C593" s="13" t="str">
        <f t="shared" ref="C593:C600" si="304">IF($D593="","",C592)</f>
        <v>Number Cake 1 número </v>
      </c>
      <c r="D593" s="13" t="s">
        <v>395</v>
      </c>
      <c r="E593" s="13" t="str">
        <f>IFERROR(VLOOKUP($D593,Insumos!$B:$U,D$1,0),"")</f>
        <v>Grs</v>
      </c>
      <c r="F593" s="70">
        <v>225.0</v>
      </c>
      <c r="G593" s="70">
        <f>IFERROR(VLOOKUP($D593,Insumos!$B:$U,G$1,0)/VLOOKUP($D593,Insumos!$B:$U,F$1,0),"")</f>
        <v>1.4</v>
      </c>
      <c r="H593" s="70">
        <f t="shared" si="66"/>
        <v>315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3">
        <f t="shared" ref="B594:B600" si="305">IF($D593="","",B593)</f>
        <v>54</v>
      </c>
      <c r="C594" s="13" t="str">
        <f t="shared" si="304"/>
        <v>Number Cake 1 número </v>
      </c>
      <c r="D594" s="13" t="s">
        <v>491</v>
      </c>
      <c r="E594" s="13" t="str">
        <f>IFERROR(VLOOKUP($D594,Insumos!$B:$U,D$1,0),"")</f>
        <v>Grs</v>
      </c>
      <c r="F594" s="70">
        <v>315.0</v>
      </c>
      <c r="G594" s="70">
        <f>IFERROR(VLOOKUP($D594,Insumos!$B:$U,G$1,0)/VLOOKUP($D594,Insumos!$B:$U,F$1,0),"")</f>
        <v>1.5</v>
      </c>
      <c r="H594" s="70">
        <f t="shared" si="66"/>
        <v>472.5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3">
        <f t="shared" si="305"/>
        <v>54</v>
      </c>
      <c r="C595" s="13" t="str">
        <f t="shared" si="304"/>
        <v>Number Cake 1 número </v>
      </c>
      <c r="D595" s="13" t="s">
        <v>468</v>
      </c>
      <c r="E595" s="13" t="str">
        <f>IFERROR(VLOOKUP($D595,Insumos!$B:$U,D$1,0),"")</f>
        <v>Cm3</v>
      </c>
      <c r="F595" s="70">
        <v>10.0</v>
      </c>
      <c r="G595" s="70">
        <f>IFERROR(VLOOKUP($D595,Insumos!$B:$U,G$1,0)/VLOOKUP($D595,Insumos!$B:$U,F$1,0),"")</f>
        <v>1.52</v>
      </c>
      <c r="H595" s="70">
        <f t="shared" si="66"/>
        <v>15.2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3">
        <f t="shared" si="305"/>
        <v>54</v>
      </c>
      <c r="C596" s="13" t="str">
        <f t="shared" si="304"/>
        <v>Number Cake 1 número </v>
      </c>
      <c r="D596" s="13" t="s">
        <v>440</v>
      </c>
      <c r="E596" s="13" t="str">
        <f>IFERROR(VLOOKUP($D596,Insumos!$B:$U,D$1,0),"")</f>
        <v>Unidad</v>
      </c>
      <c r="F596" s="70">
        <v>1.0</v>
      </c>
      <c r="G596" s="70">
        <f>IFERROR(VLOOKUP($D596,Insumos!$B:$U,G$1,0)/VLOOKUP($D596,Insumos!$B:$U,F$1,0),"")</f>
        <v>2500</v>
      </c>
      <c r="H596" s="70">
        <f t="shared" si="66"/>
        <v>2500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3">
        <f t="shared" si="305"/>
        <v>54</v>
      </c>
      <c r="C597" s="13" t="str">
        <f t="shared" si="304"/>
        <v>Number Cake 1 número </v>
      </c>
      <c r="D597" s="13" t="s">
        <v>406</v>
      </c>
      <c r="E597" s="13" t="str">
        <f>IFERROR(VLOOKUP($D597,Insumos!$B:$U,D$1,0),"")</f>
        <v>Unidad</v>
      </c>
      <c r="F597" s="70">
        <v>1.0</v>
      </c>
      <c r="G597" s="70">
        <f>IFERROR(VLOOKUP($D597,Insumos!$B:$U,G$1,0)/VLOOKUP($D597,Insumos!$B:$U,F$1,0),"")</f>
        <v>2250</v>
      </c>
      <c r="H597" s="70">
        <f t="shared" si="66"/>
        <v>2250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3">
        <f t="shared" si="305"/>
        <v>54</v>
      </c>
      <c r="C598" s="13" t="str">
        <f t="shared" si="304"/>
        <v>Number Cake 1 número </v>
      </c>
      <c r="D598" s="13" t="s">
        <v>642</v>
      </c>
      <c r="E598" s="13" t="str">
        <f>IFERROR(VLOOKUP($D598,Insumos!$B:$U,D$1,0),"")</f>
        <v>Grs</v>
      </c>
      <c r="F598" s="70">
        <v>500.0</v>
      </c>
      <c r="G598" s="70">
        <f>IFERROR(VLOOKUP($D598,Insumos!$B:$U,G$1,0)/VLOOKUP($D598,Insumos!$B:$U,F$1,0),"")</f>
        <v>9.2</v>
      </c>
      <c r="H598" s="70">
        <f t="shared" si="66"/>
        <v>4600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3">
        <f t="shared" si="305"/>
        <v>54</v>
      </c>
      <c r="C599" s="13" t="str">
        <f t="shared" si="304"/>
        <v>Number Cake 1 número </v>
      </c>
      <c r="D599" s="13" t="s">
        <v>630</v>
      </c>
      <c r="E599" s="13" t="str">
        <f>IFERROR(VLOOKUP($D599,Insumos!$B:$U,D$1,0),"")</f>
        <v>Grs</v>
      </c>
      <c r="F599" s="70">
        <v>500.0</v>
      </c>
      <c r="G599" s="70">
        <f>IFERROR(VLOOKUP($D599,Insumos!$B:$U,G$1,0)/VLOOKUP($D599,Insumos!$B:$U,F$1,0),"")</f>
        <v>3.4</v>
      </c>
      <c r="H599" s="70">
        <f t="shared" si="66"/>
        <v>1700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3">
        <f t="shared" si="305"/>
        <v>54</v>
      </c>
      <c r="C600" s="13" t="str">
        <f t="shared" si="304"/>
        <v>Number Cake 1 número </v>
      </c>
      <c r="D600" s="13" t="s">
        <v>584</v>
      </c>
      <c r="E600" s="13" t="str">
        <f>IFERROR(VLOOKUP($D600,Insumos!$B:$U,D$1,0),"")</f>
        <v>Grs</v>
      </c>
      <c r="F600" s="70">
        <v>200.0</v>
      </c>
      <c r="G600" s="70">
        <f>IFERROR(VLOOKUP($D600,Insumos!$B:$U,G$1,0)/VLOOKUP($D600,Insumos!$B:$U,F$1,0),"")</f>
        <v>10</v>
      </c>
      <c r="H600" s="70">
        <f t="shared" si="66"/>
        <v>2000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66">
        <v>55.0</v>
      </c>
      <c r="C601" s="66" t="s">
        <v>652</v>
      </c>
      <c r="D601" s="66" t="s">
        <v>568</v>
      </c>
      <c r="E601" s="66" t="str">
        <f>IFERROR(VLOOKUP($D601,Insumos!$B:$U,D$1,0),"")</f>
        <v>Grs</v>
      </c>
      <c r="F601" s="67">
        <f>(125/20*3)+56</f>
        <v>74.75</v>
      </c>
      <c r="G601" s="67">
        <f>IFERROR(VLOOKUP($D601,Insumos!$B:$U,G$1,0)/VLOOKUP($D601,Insumos!$B:$U,F$1,0),"")</f>
        <v>11</v>
      </c>
      <c r="H601" s="67">
        <f t="shared" si="66"/>
        <v>822.25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3">
        <v>55.0</v>
      </c>
      <c r="C602" s="13" t="str">
        <f t="shared" ref="C602:C612" si="306">IF($D602="","",C601)</f>
        <v>box pasteleros </v>
      </c>
      <c r="D602" s="13" t="s">
        <v>597</v>
      </c>
      <c r="E602" s="13" t="str">
        <f>IFERROR(VLOOKUP($D602,Insumos!$B:$U,D$1,0),"")</f>
        <v>Grs</v>
      </c>
      <c r="F602" s="70">
        <f>(375/20*3)+250</f>
        <v>306.25</v>
      </c>
      <c r="G602" s="70">
        <f>IFERROR(VLOOKUP($D602,Insumos!$B:$U,G$1,0)/VLOOKUP($D602,Insumos!$B:$U,F$1,0),"")</f>
        <v>1.5</v>
      </c>
      <c r="H602" s="70">
        <f t="shared" si="66"/>
        <v>459.375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3">
        <f t="shared" ref="B603:B612" si="307">IF($D602="","",B602)</f>
        <v>55</v>
      </c>
      <c r="C603" s="13" t="str">
        <f t="shared" si="306"/>
        <v>box pasteleros </v>
      </c>
      <c r="D603" s="13" t="s">
        <v>492</v>
      </c>
      <c r="E603" s="13" t="str">
        <f>IFERROR(VLOOKUP($D603,Insumos!$B:$U,D$1,0),"")</f>
        <v>Unidad</v>
      </c>
      <c r="F603" s="70">
        <v>2.0</v>
      </c>
      <c r="G603" s="70">
        <f>IFERROR(VLOOKUP($D603,Insumos!$B:$U,G$1,0)/VLOOKUP($D603,Insumos!$B:$U,F$1,0),"")</f>
        <v>166.6666667</v>
      </c>
      <c r="H603" s="70">
        <f t="shared" si="66"/>
        <v>333.3333333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3">
        <f t="shared" si="307"/>
        <v>55</v>
      </c>
      <c r="C604" s="13" t="str">
        <f t="shared" si="306"/>
        <v>box pasteleros </v>
      </c>
      <c r="D604" s="13" t="s">
        <v>468</v>
      </c>
      <c r="E604" s="13" t="str">
        <f>IFERROR(VLOOKUP($D604,Insumos!$B:$U,D$1,0),"")</f>
        <v>Cm3</v>
      </c>
      <c r="F604" s="70">
        <f>10/20*3</f>
        <v>1.5</v>
      </c>
      <c r="G604" s="70">
        <f>IFERROR(VLOOKUP($D604,Insumos!$B:$U,G$1,0)/VLOOKUP($D604,Insumos!$B:$U,F$1,0),"")</f>
        <v>1.52</v>
      </c>
      <c r="H604" s="70">
        <f t="shared" si="66"/>
        <v>2.28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3">
        <f t="shared" si="307"/>
        <v>55</v>
      </c>
      <c r="C605" s="13" t="str">
        <f t="shared" si="306"/>
        <v>box pasteleros </v>
      </c>
      <c r="D605" s="13" t="s">
        <v>489</v>
      </c>
      <c r="E605" s="13" t="str">
        <f>IFERROR(VLOOKUP($D605,Insumos!$B:$U,D$1,0),"")</f>
        <v>Grs</v>
      </c>
      <c r="F605" s="70">
        <f>225/20*3</f>
        <v>33.75</v>
      </c>
      <c r="G605" s="70">
        <f>IFERROR(VLOOKUP($D605,Insumos!$B:$U,G$1,0)/VLOOKUP($D605,Insumos!$B:$U,F$1,0),"")</f>
        <v>0.82</v>
      </c>
      <c r="H605" s="70">
        <f t="shared" si="66"/>
        <v>27.675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3">
        <f t="shared" si="307"/>
        <v>55</v>
      </c>
      <c r="C606" s="13" t="str">
        <f t="shared" si="306"/>
        <v>box pasteleros </v>
      </c>
      <c r="D606" s="13" t="s">
        <v>491</v>
      </c>
      <c r="E606" s="13" t="str">
        <f>IFERROR(VLOOKUP($D606,Insumos!$B:$U,D$1,0),"")</f>
        <v>Grs</v>
      </c>
      <c r="F606" s="70">
        <v>62.0</v>
      </c>
      <c r="G606" s="70">
        <f>IFERROR(VLOOKUP($D606,Insumos!$B:$U,G$1,0)/VLOOKUP($D606,Insumos!$B:$U,F$1,0),"")</f>
        <v>1.5</v>
      </c>
      <c r="H606" s="70">
        <f t="shared" si="66"/>
        <v>93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3">
        <f t="shared" si="307"/>
        <v>55</v>
      </c>
      <c r="C607" s="13" t="str">
        <f t="shared" si="306"/>
        <v>box pasteleros </v>
      </c>
      <c r="D607" s="13" t="s">
        <v>486</v>
      </c>
      <c r="E607" s="13" t="str">
        <f>IFERROR(VLOOKUP($D607,Insumos!$B:$U,D$1,0),"")</f>
        <v>Grs</v>
      </c>
      <c r="F607" s="70">
        <v>200.0</v>
      </c>
      <c r="G607" s="93">
        <f>IFERROR(VLOOKUP($D607,Insumos!$B:$U,G$1,0)/VLOOKUP($D607,Insumos!$B:$U,F$1,0),"")</f>
        <v>7</v>
      </c>
      <c r="H607" s="70">
        <f t="shared" si="66"/>
        <v>1400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3">
        <f t="shared" si="307"/>
        <v>55</v>
      </c>
      <c r="C608" s="13" t="str">
        <f t="shared" si="306"/>
        <v>box pasteleros </v>
      </c>
      <c r="D608" s="13" t="s">
        <v>416</v>
      </c>
      <c r="E608" s="13" t="str">
        <f>IFERROR(VLOOKUP($D608,Insumos!$B:$U,D$1,0),"")</f>
        <v>Unidad</v>
      </c>
      <c r="F608" s="70">
        <v>6.0</v>
      </c>
      <c r="G608" s="70">
        <f>IFERROR(VLOOKUP($D608,Insumos!$B:$U,G$1,0)/VLOOKUP($D608,Insumos!$B:$U,F$1,0),"")</f>
        <v>1.01</v>
      </c>
      <c r="H608" s="70">
        <f t="shared" si="66"/>
        <v>6.06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3">
        <f t="shared" si="307"/>
        <v>55</v>
      </c>
      <c r="C609" s="13" t="str">
        <f t="shared" si="306"/>
        <v>box pasteleros </v>
      </c>
      <c r="D609" s="13" t="s">
        <v>573</v>
      </c>
      <c r="E609" s="13" t="str">
        <f>IFERROR(VLOOKUP($D609,Insumos!$B:$U,D$1,0),"")</f>
        <v>Grs</v>
      </c>
      <c r="F609" s="70">
        <v>65.0</v>
      </c>
      <c r="G609" s="70">
        <f>IFERROR(VLOOKUP($D609,Insumos!$B:$U,G$1,0)/VLOOKUP($D609,Insumos!$B:$U,F$1,0),"")</f>
        <v>1.4</v>
      </c>
      <c r="H609" s="70">
        <f t="shared" si="66"/>
        <v>91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3">
        <f t="shared" si="307"/>
        <v>55</v>
      </c>
      <c r="C610" s="13" t="str">
        <f t="shared" si="306"/>
        <v>box pasteleros </v>
      </c>
      <c r="D610" s="13" t="s">
        <v>496</v>
      </c>
      <c r="E610" s="13" t="str">
        <f>IFERROR(VLOOKUP($D610,Insumos!$B:$U,D$1,0),"")</f>
        <v>Cm3</v>
      </c>
      <c r="F610" s="70">
        <v>31.0</v>
      </c>
      <c r="G610" s="70">
        <f>IFERROR(VLOOKUP($D610,Insumos!$B:$U,G$1,0)/VLOOKUP($D610,Insumos!$B:$U,F$1,0),"")</f>
        <v>2.1</v>
      </c>
      <c r="H610" s="70">
        <f t="shared" si="66"/>
        <v>65.1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3">
        <f t="shared" si="307"/>
        <v>55</v>
      </c>
      <c r="C611" s="13" t="str">
        <f t="shared" si="306"/>
        <v>box pasteleros </v>
      </c>
      <c r="D611" s="13" t="s">
        <v>605</v>
      </c>
      <c r="E611" s="13" t="str">
        <f>IFERROR(VLOOKUP($D611,Insumos!$B:$U,D$1,0),"")</f>
        <v>Unidad</v>
      </c>
      <c r="F611" s="70">
        <v>1.0</v>
      </c>
      <c r="G611" s="70">
        <f>IFERROR(VLOOKUP($D611,Insumos!$B:$U,G$1,0)/VLOOKUP($D611,Insumos!$B:$U,F$1,0),"")</f>
        <v>208.3333333</v>
      </c>
      <c r="H611" s="70">
        <f t="shared" si="66"/>
        <v>208.3333333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3">
        <f t="shared" si="307"/>
        <v>55</v>
      </c>
      <c r="C612" s="13" t="str">
        <f t="shared" si="306"/>
        <v>box pasteleros </v>
      </c>
      <c r="D612" s="13" t="s">
        <v>436</v>
      </c>
      <c r="E612" s="13" t="str">
        <f>IFERROR(VLOOKUP($D612,Insumos!$B:$U,D$1,0),"")</f>
        <v>Unidad</v>
      </c>
      <c r="F612" s="70">
        <v>1.0</v>
      </c>
      <c r="G612" s="70">
        <f>IFERROR(VLOOKUP($D612,Insumos!$B:$U,G$1,0)/VLOOKUP($D612,Insumos!$B:$U,F$1,0),"")</f>
        <v>291</v>
      </c>
      <c r="H612" s="70">
        <f t="shared" si="66"/>
        <v>291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66">
        <v>56.0</v>
      </c>
      <c r="C613" s="66" t="s">
        <v>653</v>
      </c>
      <c r="D613" s="66" t="s">
        <v>529</v>
      </c>
      <c r="E613" s="66" t="str">
        <f>IFERROR(VLOOKUP($D613,Insumos!$B:$U,D$1,0),"")</f>
        <v>Unidad</v>
      </c>
      <c r="F613" s="67">
        <v>1.0</v>
      </c>
      <c r="G613" s="67">
        <f>IFERROR(VLOOKUP($D613,Insumos!$B:$U,G$1,0)/VLOOKUP($D613,Insumos!$B:$U,F$1,0),"")</f>
        <v>180</v>
      </c>
      <c r="H613" s="67">
        <f t="shared" si="66"/>
        <v>180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3">
        <v>56.0</v>
      </c>
      <c r="C614" s="13" t="str">
        <f t="shared" ref="C614:C621" si="308">IF($D614="","",C613)</f>
        <v>Box dia del Padre</v>
      </c>
      <c r="D614" s="13" t="s">
        <v>568</v>
      </c>
      <c r="E614" s="13" t="str">
        <f>IFERROR(VLOOKUP($D614,Insumos!$B:$U,D$1,0),"")</f>
        <v>Grs</v>
      </c>
      <c r="F614" s="70">
        <v>6.25</v>
      </c>
      <c r="G614" s="70">
        <f>IFERROR(VLOOKUP($D614,Insumos!$B:$U,G$1,0)/VLOOKUP($D614,Insumos!$B:$U,F$1,0),"")</f>
        <v>11</v>
      </c>
      <c r="H614" s="70">
        <f t="shared" si="66"/>
        <v>68.75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3">
        <f t="shared" ref="B615:B621" si="309">IF($D614="","",B614)</f>
        <v>56</v>
      </c>
      <c r="C615" s="13" t="str">
        <f t="shared" si="308"/>
        <v>Box dia del Padre</v>
      </c>
      <c r="D615" s="13" t="s">
        <v>597</v>
      </c>
      <c r="E615" s="13" t="str">
        <f>IFERROR(VLOOKUP($D615,Insumos!$B:$U,D$1,0),"")</f>
        <v>Grs</v>
      </c>
      <c r="F615" s="70">
        <v>18.75</v>
      </c>
      <c r="G615" s="70">
        <f>IFERROR(VLOOKUP($D615,Insumos!$B:$U,G$1,0)/VLOOKUP($D615,Insumos!$B:$U,F$1,0),"")</f>
        <v>1.5</v>
      </c>
      <c r="H615" s="70">
        <f t="shared" si="66"/>
        <v>28.125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3">
        <f t="shared" si="309"/>
        <v>56</v>
      </c>
      <c r="C616" s="13" t="str">
        <f t="shared" si="308"/>
        <v>Box dia del Padre</v>
      </c>
      <c r="D616" s="13" t="s">
        <v>492</v>
      </c>
      <c r="E616" s="13" t="str">
        <f>IFERROR(VLOOKUP($D616,Insumos!$B:$U,D$1,0),"")</f>
        <v>Unidad</v>
      </c>
      <c r="F616" s="70">
        <v>0.1</v>
      </c>
      <c r="G616" s="70">
        <f>IFERROR(VLOOKUP($D616,Insumos!$B:$U,G$1,0)/VLOOKUP($D616,Insumos!$B:$U,F$1,0),"")</f>
        <v>166.6666667</v>
      </c>
      <c r="H616" s="70">
        <f t="shared" si="66"/>
        <v>16.66666667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3">
        <f t="shared" si="309"/>
        <v>56</v>
      </c>
      <c r="C617" s="13" t="str">
        <f t="shared" si="308"/>
        <v>Box dia del Padre</v>
      </c>
      <c r="D617" s="13" t="s">
        <v>468</v>
      </c>
      <c r="E617" s="13" t="str">
        <f>IFERROR(VLOOKUP($D617,Insumos!$B:$U,D$1,0),"")</f>
        <v>Cm3</v>
      </c>
      <c r="F617" s="70">
        <v>0.5</v>
      </c>
      <c r="G617" s="70">
        <f>IFERROR(VLOOKUP($D617,Insumos!$B:$U,G$1,0)/VLOOKUP($D617,Insumos!$B:$U,F$1,0),"")</f>
        <v>1.52</v>
      </c>
      <c r="H617" s="70">
        <f t="shared" si="66"/>
        <v>0.76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3">
        <f t="shared" si="309"/>
        <v>56</v>
      </c>
      <c r="C618" s="13" t="str">
        <f t="shared" si="308"/>
        <v>Box dia del Padre</v>
      </c>
      <c r="D618" s="13" t="s">
        <v>489</v>
      </c>
      <c r="E618" s="13" t="str">
        <f>IFERROR(VLOOKUP($D618,Insumos!$B:$U,D$1,0),"")</f>
        <v>Grs</v>
      </c>
      <c r="F618" s="70">
        <v>11.25</v>
      </c>
      <c r="G618" s="70">
        <f>IFERROR(VLOOKUP($D618,Insumos!$B:$U,G$1,0)/VLOOKUP($D618,Insumos!$B:$U,F$1,0),"")</f>
        <v>0.82</v>
      </c>
      <c r="H618" s="70">
        <f t="shared" si="66"/>
        <v>9.225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3">
        <f t="shared" si="309"/>
        <v>56</v>
      </c>
      <c r="C619" s="13" t="str">
        <f t="shared" si="308"/>
        <v>Box dia del Padre</v>
      </c>
      <c r="D619" s="13" t="s">
        <v>500</v>
      </c>
      <c r="E619" s="13" t="str">
        <f>IFERROR(VLOOKUP($D619,Insumos!$B:$U,D$1,0),"")</f>
        <v>Unidad</v>
      </c>
      <c r="F619" s="70">
        <v>1.0</v>
      </c>
      <c r="G619" s="70">
        <f>IFERROR(VLOOKUP($D619,Insumos!$B:$U,G$1,0)/VLOOKUP($D619,Insumos!$B:$U,F$1,0),"")</f>
        <v>180</v>
      </c>
      <c r="H619" s="70">
        <f t="shared" si="66"/>
        <v>180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3">
        <f t="shared" si="309"/>
        <v>56</v>
      </c>
      <c r="C620" s="13" t="str">
        <f t="shared" si="308"/>
        <v>Box dia del Padre</v>
      </c>
      <c r="D620" s="13" t="s">
        <v>411</v>
      </c>
      <c r="E620" s="13" t="str">
        <f>IFERROR(VLOOKUP($D620,Insumos!$B:$U,D$1,0),"")</f>
        <v>Unidad</v>
      </c>
      <c r="F620" s="70">
        <v>1.0</v>
      </c>
      <c r="G620" s="70">
        <f>IFERROR(VLOOKUP($D620,Insumos!$B:$U,G$1,0)/VLOOKUP($D620,Insumos!$B:$U,F$1,0),"")</f>
        <v>7.94</v>
      </c>
      <c r="H620" s="70">
        <f t="shared" si="66"/>
        <v>7.94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3">
        <f t="shared" si="309"/>
        <v>56</v>
      </c>
      <c r="C621" s="13" t="str">
        <f t="shared" si="308"/>
        <v>Box dia del Padre</v>
      </c>
      <c r="D621" s="13" t="s">
        <v>598</v>
      </c>
      <c r="E621" s="13" t="str">
        <f>IFERROR(VLOOKUP($D621,Insumos!$B:$U,D$1,0),"")</f>
        <v>Grs</v>
      </c>
      <c r="F621" s="70">
        <f>1*5</f>
        <v>5</v>
      </c>
      <c r="G621" s="70">
        <f>IFERROR(VLOOKUP($D621,Insumos!$B:$U,G$1,0)/VLOOKUP($D621,Insumos!$B:$U,F$1,0),"")</f>
        <v>120</v>
      </c>
      <c r="H621" s="70">
        <f t="shared" si="66"/>
        <v>600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66">
        <v>57.0</v>
      </c>
      <c r="C622" s="66" t="s">
        <v>654</v>
      </c>
      <c r="D622" s="66" t="s">
        <v>472</v>
      </c>
      <c r="E622" s="66" t="str">
        <f>IFERROR(VLOOKUP($D622,Insumos!$B:$U,D$1,0),"")</f>
        <v>Grs</v>
      </c>
      <c r="F622" s="67">
        <v>10.0</v>
      </c>
      <c r="G622" s="67">
        <f>IFERROR(VLOOKUP($D622,Insumos!$B:$U,G$1,0)/VLOOKUP($D622,Insumos!$B:$U,F$1,0),"")</f>
        <v>7</v>
      </c>
      <c r="H622" s="67">
        <f t="shared" si="66"/>
        <v>70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3">
        <v>57.0</v>
      </c>
      <c r="C623" s="13" t="str">
        <f t="shared" ref="C623:C625" si="310">IF($D623="","",C622)</f>
        <v>Grisines</v>
      </c>
      <c r="D623" s="13" t="s">
        <v>488</v>
      </c>
      <c r="E623" s="13" t="str">
        <f>IFERROR(VLOOKUP($D623,Insumos!$B:$U,D$1,0),"")</f>
        <v>Grs</v>
      </c>
      <c r="F623" s="70">
        <v>500.0</v>
      </c>
      <c r="G623" s="93">
        <f>IFERROR(VLOOKUP($D623,Insumos!$B:$U,G$1,0)/VLOOKUP($D623,Insumos!$B:$U,F$1,0),"")</f>
        <v>0.79</v>
      </c>
      <c r="H623" s="70">
        <f t="shared" si="66"/>
        <v>395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3">
        <f t="shared" ref="B624:B625" si="311">IF($D623="","",B623)</f>
        <v>57</v>
      </c>
      <c r="C624" s="13" t="str">
        <f t="shared" si="310"/>
        <v>Grisines</v>
      </c>
      <c r="D624" s="13" t="s">
        <v>499</v>
      </c>
      <c r="E624" s="13" t="str">
        <f>IFERROR(VLOOKUP($D624,Insumos!$B:$U,D$1,0),"")</f>
        <v>Grs</v>
      </c>
      <c r="F624" s="70">
        <v>15.0</v>
      </c>
      <c r="G624" s="70">
        <f>IFERROR(VLOOKUP($D624,Insumos!$B:$U,G$1,0)/VLOOKUP($D624,Insumos!$B:$U,F$1,0),"")</f>
        <v>8</v>
      </c>
      <c r="H624" s="70">
        <f t="shared" si="66"/>
        <v>120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3">
        <f t="shared" si="311"/>
        <v>57</v>
      </c>
      <c r="C625" s="13" t="str">
        <f t="shared" si="310"/>
        <v>Grisines</v>
      </c>
      <c r="D625" s="13" t="s">
        <v>507</v>
      </c>
      <c r="E625" s="13" t="str">
        <f>IFERROR(VLOOKUP($D625,Insumos!$B:$U,D$1,0),"")</f>
        <v>Grs</v>
      </c>
      <c r="F625" s="70">
        <v>50.0</v>
      </c>
      <c r="G625" s="93">
        <f>IFERROR(VLOOKUP($D625,Insumos!$B:$U,G$1,0)/VLOOKUP($D625,Insumos!$B:$U,F$1,0),"")</f>
        <v>0.15</v>
      </c>
      <c r="H625" s="70">
        <f t="shared" si="66"/>
        <v>7.5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66">
        <v>58.0</v>
      </c>
      <c r="C626" s="66" t="s">
        <v>655</v>
      </c>
      <c r="D626" s="66" t="s">
        <v>656</v>
      </c>
      <c r="E626" s="66" t="str">
        <f>IFERROR(VLOOKUP($D626,Insumos!$B:$U,D$1,0),"")</f>
        <v>Grs</v>
      </c>
      <c r="F626" s="67">
        <v>500.0</v>
      </c>
      <c r="G626" s="67">
        <f>IFERROR(VLOOKUP($D626,Insumos!$B:$U,G$1,0)/VLOOKUP($D626,Insumos!$B:$U,F$1,0),"")</f>
        <v>0.82</v>
      </c>
      <c r="H626" s="67">
        <f t="shared" si="66"/>
        <v>410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3">
        <v>58.0</v>
      </c>
      <c r="C627" s="13" t="str">
        <f t="shared" ref="C627:C628" si="312">IF($D627="","",C626)</f>
        <v>Pastelitos</v>
      </c>
      <c r="D627" s="13" t="s">
        <v>568</v>
      </c>
      <c r="E627" s="13" t="str">
        <f>IFERROR(VLOOKUP($D627,Insumos!$B:$U,D$1,0),"")</f>
        <v>Grs</v>
      </c>
      <c r="F627" s="70">
        <v>500.0</v>
      </c>
      <c r="G627" s="70">
        <f>IFERROR(VLOOKUP($D627,Insumos!$B:$U,G$1,0)/VLOOKUP($D627,Insumos!$B:$U,F$1,0),"")</f>
        <v>11</v>
      </c>
      <c r="H627" s="70">
        <f t="shared" si="66"/>
        <v>5500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3">
        <f>IF($D627="","",B627)</f>
        <v>58</v>
      </c>
      <c r="C628" s="13" t="str">
        <f t="shared" si="312"/>
        <v>Pastelitos</v>
      </c>
      <c r="D628" s="13" t="s">
        <v>657</v>
      </c>
      <c r="E628" s="13" t="str">
        <f>IFERROR(VLOOKUP($D628,Insumos!$B:$U,D$1,0),"")</f>
        <v>Grs</v>
      </c>
      <c r="F628" s="70">
        <v>500.0</v>
      </c>
      <c r="G628" s="70">
        <f>IFERROR(VLOOKUP($D628,Insumos!$B:$U,G$1,0)/VLOOKUP($D628,Insumos!$B:$U,F$1,0),"")</f>
        <v>3.89</v>
      </c>
      <c r="H628" s="70">
        <f t="shared" si="66"/>
        <v>1945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66">
        <v>59.0</v>
      </c>
      <c r="C629" s="66" t="s">
        <v>658</v>
      </c>
      <c r="D629" s="66" t="s">
        <v>492</v>
      </c>
      <c r="E629" s="66" t="str">
        <f>IFERROR(VLOOKUP($D629,Insumos!$B:$U,D$1,0),"")</f>
        <v>Unidad</v>
      </c>
      <c r="F629" s="67">
        <v>4.0</v>
      </c>
      <c r="G629" s="67">
        <f>IFERROR(VLOOKUP($D629,Insumos!$B:$U,G$1,0)/VLOOKUP($D629,Insumos!$B:$U,F$1,0),"")</f>
        <v>166.6666667</v>
      </c>
      <c r="H629" s="67">
        <f t="shared" si="66"/>
        <v>666.6666667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3">
        <v>59.0</v>
      </c>
      <c r="C630" s="13" t="str">
        <f t="shared" ref="C630:C641" si="313">IF($D630="","",C629)</f>
        <v>Ferrero Rocher 16cm</v>
      </c>
      <c r="D630" s="13" t="s">
        <v>573</v>
      </c>
      <c r="E630" s="13" t="str">
        <f>IFERROR(VLOOKUP($D630,Insumos!$B:$U,D$1,0),"")</f>
        <v>Grs</v>
      </c>
      <c r="F630" s="70">
        <v>259.0</v>
      </c>
      <c r="G630" s="70">
        <f>IFERROR(VLOOKUP($D630,Insumos!$B:$U,G$1,0)/VLOOKUP($D630,Insumos!$B:$U,F$1,0),"")</f>
        <v>1.4</v>
      </c>
      <c r="H630" s="70">
        <f t="shared" si="66"/>
        <v>362.6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3">
        <f t="shared" ref="B631:B641" si="314">IF($D630="","",B630)</f>
        <v>59</v>
      </c>
      <c r="C631" s="13" t="str">
        <f t="shared" si="313"/>
        <v>Ferrero Rocher 16cm</v>
      </c>
      <c r="D631" s="13" t="s">
        <v>468</v>
      </c>
      <c r="E631" s="13" t="str">
        <f>IFERROR(VLOOKUP($D631,Insumos!$B:$U,D$1,0),"")</f>
        <v>Cm3</v>
      </c>
      <c r="F631" s="70">
        <v>20.0</v>
      </c>
      <c r="G631" s="70">
        <f>IFERROR(VLOOKUP($D631,Insumos!$B:$U,G$1,0)/VLOOKUP($D631,Insumos!$B:$U,F$1,0),"")</f>
        <v>1.52</v>
      </c>
      <c r="H631" s="70">
        <f t="shared" si="66"/>
        <v>30.4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3">
        <f t="shared" si="314"/>
        <v>59</v>
      </c>
      <c r="C632" s="13" t="str">
        <f t="shared" si="313"/>
        <v>Ferrero Rocher 16cm</v>
      </c>
      <c r="D632" s="13" t="s">
        <v>491</v>
      </c>
      <c r="E632" s="13" t="str">
        <f>IFERROR(VLOOKUP($D632,Insumos!$B:$U,D$1,0),"")</f>
        <v>Grs</v>
      </c>
      <c r="F632" s="70">
        <v>259.0</v>
      </c>
      <c r="G632" s="70">
        <f>IFERROR(VLOOKUP($D632,Insumos!$B:$U,G$1,0)/VLOOKUP($D632,Insumos!$B:$U,F$1,0),"")</f>
        <v>1.5</v>
      </c>
      <c r="H632" s="70">
        <f t="shared" si="66"/>
        <v>388.5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3">
        <f t="shared" si="314"/>
        <v>59</v>
      </c>
      <c r="C633" s="13" t="str">
        <f t="shared" si="313"/>
        <v>Ferrero Rocher 16cm</v>
      </c>
      <c r="D633" s="13" t="s">
        <v>422</v>
      </c>
      <c r="E633" s="13" t="str">
        <f>IFERROR(VLOOKUP($D633,Insumos!$B:$U,D$1,0),"")</f>
        <v>Grs</v>
      </c>
      <c r="F633" s="70">
        <v>80.0</v>
      </c>
      <c r="G633" s="70">
        <f>IFERROR(VLOOKUP($D633,Insumos!$B:$U,G$1,0)/VLOOKUP($D633,Insumos!$B:$U,F$1,0),"")</f>
        <v>36.11111111</v>
      </c>
      <c r="H633" s="70">
        <f t="shared" si="66"/>
        <v>2888.888889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3">
        <f t="shared" si="314"/>
        <v>59</v>
      </c>
      <c r="C634" s="13" t="str">
        <f t="shared" si="313"/>
        <v>Ferrero Rocher 16cm</v>
      </c>
      <c r="D634" s="13" t="s">
        <v>630</v>
      </c>
      <c r="E634" s="13" t="str">
        <f>IFERROR(VLOOKUP($D634,Insumos!$B:$U,D$1,0),"")</f>
        <v>Grs</v>
      </c>
      <c r="F634" s="70">
        <v>200.0</v>
      </c>
      <c r="G634" s="70">
        <f>IFERROR(VLOOKUP($D634,Insumos!$B:$U,G$1,0)/VLOOKUP($D634,Insumos!$B:$U,F$1,0),"")</f>
        <v>3.4</v>
      </c>
      <c r="H634" s="70">
        <f t="shared" si="66"/>
        <v>680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3">
        <f t="shared" si="314"/>
        <v>59</v>
      </c>
      <c r="C635" s="13" t="str">
        <f t="shared" si="313"/>
        <v>Ferrero Rocher 16cm</v>
      </c>
      <c r="D635" s="13" t="s">
        <v>623</v>
      </c>
      <c r="E635" s="13" t="str">
        <f>IFERROR(VLOOKUP($D635,Insumos!$B:$U,D$1,0),"")</f>
        <v>Grs</v>
      </c>
      <c r="F635" s="70">
        <v>200.0</v>
      </c>
      <c r="G635" s="70">
        <f>IFERROR(VLOOKUP($D635,Insumos!$B:$U,G$1,0)/VLOOKUP($D635,Insumos!$B:$U,F$1,0),"")</f>
        <v>31.42857143</v>
      </c>
      <c r="H635" s="70">
        <f t="shared" si="66"/>
        <v>6285.714286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3">
        <f t="shared" si="314"/>
        <v>59</v>
      </c>
      <c r="C636" s="13" t="str">
        <f t="shared" si="313"/>
        <v>Ferrero Rocher 16cm</v>
      </c>
      <c r="D636" s="13" t="s">
        <v>219</v>
      </c>
      <c r="E636" s="13" t="str">
        <f>IFERROR(VLOOKUP($D636,Insumos!$B:$U,D$1,0),"")</f>
        <v>Unidad</v>
      </c>
      <c r="F636" s="70">
        <v>4.0</v>
      </c>
      <c r="G636" s="70">
        <f>IFERROR(VLOOKUP($D636,Insumos!$B:$U,G$1,0)/VLOOKUP($D636,Insumos!$B:$U,F$1,0),"")</f>
        <v>53.33333333</v>
      </c>
      <c r="H636" s="70">
        <f t="shared" si="66"/>
        <v>213.3333333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3">
        <f t="shared" si="314"/>
        <v>59</v>
      </c>
      <c r="C637" s="13" t="str">
        <f t="shared" si="313"/>
        <v>Ferrero Rocher 16cm</v>
      </c>
      <c r="D637" s="13" t="s">
        <v>638</v>
      </c>
      <c r="E637" s="13" t="str">
        <f>IFERROR(VLOOKUP($D637,Insumos!$B:$U,D$1,0),"")</f>
        <v>Grs</v>
      </c>
      <c r="F637" s="70">
        <v>200.0</v>
      </c>
      <c r="G637" s="70">
        <f>IFERROR(VLOOKUP($D637,Insumos!$B:$U,G$1,0)/VLOOKUP($D637,Insumos!$B:$U,F$1,0),"")</f>
        <v>11</v>
      </c>
      <c r="H637" s="70">
        <f t="shared" si="66"/>
        <v>2200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3">
        <f t="shared" si="314"/>
        <v>59</v>
      </c>
      <c r="C638" s="13" t="str">
        <f t="shared" si="313"/>
        <v>Ferrero Rocher 16cm</v>
      </c>
      <c r="D638" s="13" t="s">
        <v>404</v>
      </c>
      <c r="E638" s="13" t="str">
        <f>IFERROR(VLOOKUP($D638,Insumos!$B:$U,D$1,0),"")</f>
        <v>Unidad</v>
      </c>
      <c r="F638" s="70">
        <v>1.0</v>
      </c>
      <c r="G638" s="70">
        <f>IFERROR(VLOOKUP($D638,Insumos!$B:$U,G$1,0)/VLOOKUP($D638,Insumos!$B:$U,F$1,0),"")</f>
        <v>1300</v>
      </c>
      <c r="H638" s="70">
        <f t="shared" si="66"/>
        <v>1300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3">
        <f t="shared" si="314"/>
        <v>59</v>
      </c>
      <c r="C639" s="13" t="str">
        <f t="shared" si="313"/>
        <v>Ferrero Rocher 16cm</v>
      </c>
      <c r="D639" s="13" t="s">
        <v>426</v>
      </c>
      <c r="E639" s="13" t="str">
        <f>IFERROR(VLOOKUP($D639,Insumos!$B:$U,D$1,0),"")</f>
        <v>Unidad</v>
      </c>
      <c r="F639" s="70">
        <v>1.0</v>
      </c>
      <c r="G639" s="70">
        <f>IFERROR(VLOOKUP($D639,Insumos!$B:$U,G$1,0)/VLOOKUP($D639,Insumos!$B:$U,F$1,0),"")</f>
        <v>975</v>
      </c>
      <c r="H639" s="70">
        <f t="shared" si="66"/>
        <v>975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3">
        <f t="shared" si="314"/>
        <v>59</v>
      </c>
      <c r="C640" s="13" t="str">
        <f t="shared" si="313"/>
        <v>Ferrero Rocher 16cm</v>
      </c>
      <c r="D640" s="13" t="s">
        <v>639</v>
      </c>
      <c r="E640" s="13" t="str">
        <f>IFERROR(VLOOKUP($D640,Insumos!$B:$U,D$1,0),"")</f>
        <v>Grs</v>
      </c>
      <c r="F640" s="70">
        <v>30.0</v>
      </c>
      <c r="G640" s="70">
        <f>IFERROR(VLOOKUP($D640,Insumos!$B:$U,G$1,0)/VLOOKUP($D640,Insumos!$B:$U,F$1,0),"")</f>
        <v>9</v>
      </c>
      <c r="H640" s="70">
        <f t="shared" si="66"/>
        <v>270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3">
        <f t="shared" si="314"/>
        <v>59</v>
      </c>
      <c r="C641" s="13" t="str">
        <f t="shared" si="313"/>
        <v>Ferrero Rocher 16cm</v>
      </c>
      <c r="D641" s="13" t="s">
        <v>568</v>
      </c>
      <c r="E641" s="13" t="str">
        <f>IFERROR(VLOOKUP($D641,Insumos!$B:$U,D$1,0),"")</f>
        <v>Grs</v>
      </c>
      <c r="F641" s="70">
        <v>259.0</v>
      </c>
      <c r="G641" s="70">
        <f>IFERROR(VLOOKUP($D641,Insumos!$B:$U,G$1,0)/VLOOKUP($D641,Insumos!$B:$U,F$1,0),"")</f>
        <v>11</v>
      </c>
      <c r="H641" s="70">
        <f t="shared" si="66"/>
        <v>2849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66">
        <v>60.0</v>
      </c>
      <c r="C642" s="66" t="s">
        <v>659</v>
      </c>
      <c r="D642" s="66" t="s">
        <v>568</v>
      </c>
      <c r="E642" s="66" t="str">
        <f>IFERROR(VLOOKUP($D642,Insumos!$B:$U,D$1,0),"")</f>
        <v>Grs</v>
      </c>
      <c r="F642" s="67">
        <f>350+550</f>
        <v>900</v>
      </c>
      <c r="G642" s="67">
        <f>IFERROR(VLOOKUP($D642,Insumos!$B:$U,G$1,0)/VLOOKUP($D642,Insumos!$B:$U,F$1,0),"")</f>
        <v>11</v>
      </c>
      <c r="H642" s="67">
        <f t="shared" si="66"/>
        <v>9900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3">
        <v>60.0</v>
      </c>
      <c r="C643" s="13" t="str">
        <f t="shared" ref="C643:C645" si="315">IF($D643="","",C642)</f>
        <v>Drip Cake 16 Cm</v>
      </c>
      <c r="D643" s="13" t="s">
        <v>573</v>
      </c>
      <c r="E643" s="13" t="str">
        <f>IFERROR(VLOOKUP($D643,Insumos!$B:$U,D$1,0),"")</f>
        <v>Grs</v>
      </c>
      <c r="F643" s="70">
        <v>350.0</v>
      </c>
      <c r="G643" s="70">
        <f>IFERROR(VLOOKUP($D643,Insumos!$B:$U,G$1,0)/VLOOKUP($D643,Insumos!$B:$U,F$1,0),"")</f>
        <v>1.4</v>
      </c>
      <c r="H643" s="70">
        <f t="shared" si="66"/>
        <v>490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3">
        <f t="shared" ref="B644:B645" si="316">IF($D643="","",B643)</f>
        <v>60</v>
      </c>
      <c r="C644" s="13" t="str">
        <f t="shared" si="315"/>
        <v>Drip Cake 16 Cm</v>
      </c>
      <c r="D644" s="13" t="s">
        <v>569</v>
      </c>
      <c r="E644" s="13" t="str">
        <f>IFERROR(VLOOKUP($D644,Insumos!$B:$U,D$1,0),"")</f>
        <v>Unidad</v>
      </c>
      <c r="F644" s="70">
        <v>6.0</v>
      </c>
      <c r="G644" s="70">
        <f>IFERROR(VLOOKUP($D644,Insumos!$B:$U,G$1,0)/VLOOKUP($D644,Insumos!$B:$U,F$1,0),"")</f>
        <v>166.6666667</v>
      </c>
      <c r="H644" s="70">
        <f t="shared" si="66"/>
        <v>1000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3">
        <f t="shared" si="316"/>
        <v>60</v>
      </c>
      <c r="C645" s="13" t="str">
        <f t="shared" si="315"/>
        <v>Drip Cake 16 Cm</v>
      </c>
      <c r="D645" s="13" t="s">
        <v>489</v>
      </c>
      <c r="E645" s="13" t="str">
        <f>IFERROR(VLOOKUP($D645,Insumos!$B:$U,D$1,0),"")</f>
        <v>Grs</v>
      </c>
      <c r="F645" s="70">
        <v>350.0</v>
      </c>
      <c r="G645" s="70">
        <f>IFERROR(VLOOKUP($D645,Insumos!$B:$U,G$1,0)/VLOOKUP($D645,Insumos!$B:$U,F$1,0),"")</f>
        <v>0.82</v>
      </c>
      <c r="H645" s="70">
        <f t="shared" si="66"/>
        <v>287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3">
        <v>60.0</v>
      </c>
      <c r="C646" s="13" t="str">
        <f>IF($D648="","",C645)</f>
        <v>Drip Cake 16 Cm</v>
      </c>
      <c r="D646" s="13" t="s">
        <v>397</v>
      </c>
      <c r="E646" s="13" t="s">
        <v>392</v>
      </c>
      <c r="F646" s="70">
        <v>700.0</v>
      </c>
      <c r="G646" s="70">
        <f>IFERROR(VLOOKUP($D646,Insumos!$B:$U,G$1,0)/VLOOKUP($D646,Insumos!$B:$U,F$1,0),"")</f>
        <v>1.5</v>
      </c>
      <c r="H646" s="70">
        <f t="shared" si="66"/>
        <v>1050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3">
        <v>60.0</v>
      </c>
      <c r="C647" s="13" t="s">
        <v>659</v>
      </c>
      <c r="D647" s="13" t="s">
        <v>430</v>
      </c>
      <c r="E647" s="13" t="str">
        <f>IFERROR(VLOOKUP($D647,Insumos!$B:$U,D$1,0),"")</f>
        <v>Unidad</v>
      </c>
      <c r="F647" s="70">
        <v>1.0</v>
      </c>
      <c r="G647" s="70">
        <f>IFERROR(VLOOKUP($D647,Insumos!$B:$U,G$1,0)/VLOOKUP($D647,Insumos!$B:$U,F$1,0),"")</f>
        <v>1400</v>
      </c>
      <c r="H647" s="70">
        <f t="shared" si="66"/>
        <v>1400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3">
        <f>IF($D645="","",B645)</f>
        <v>60</v>
      </c>
      <c r="C648" s="55" t="str">
        <f>IF($D649="","",C646)</f>
        <v>Drip Cake 16 Cm</v>
      </c>
      <c r="D648" s="13" t="s">
        <v>630</v>
      </c>
      <c r="E648" s="13" t="str">
        <f>IFERROR(VLOOKUP($D648,Insumos!$B:$U,D$1,0),"")</f>
        <v>Grs</v>
      </c>
      <c r="F648" s="70">
        <v>1500.0</v>
      </c>
      <c r="G648" s="70">
        <f>IFERROR(VLOOKUP($D648,Insumos!$B:$U,G$1,0)/VLOOKUP($D648,Insumos!$B:$U,F$1,0),"")</f>
        <v>3.4</v>
      </c>
      <c r="H648" s="70">
        <f t="shared" si="66"/>
        <v>5100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3">
        <f t="shared" ref="B649:B650" si="317">IF($D648="","",B648)</f>
        <v>60</v>
      </c>
      <c r="C649" s="13" t="str">
        <f>IF($D649="","",C646)</f>
        <v>Drip Cake 16 Cm</v>
      </c>
      <c r="D649" s="13" t="s">
        <v>584</v>
      </c>
      <c r="E649" s="13" t="str">
        <f>IFERROR(VLOOKUP($D649,Insumos!$B:$U,D$1,0),"")</f>
        <v>Grs</v>
      </c>
      <c r="F649" s="70">
        <v>300.0</v>
      </c>
      <c r="G649" s="70">
        <f>IFERROR(VLOOKUP($D649,Insumos!$B:$U,G$1,0)/VLOOKUP($D649,Insumos!$B:$U,F$1,0),"")</f>
        <v>10</v>
      </c>
      <c r="H649" s="70">
        <f t="shared" si="66"/>
        <v>3000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3">
        <f t="shared" si="317"/>
        <v>60</v>
      </c>
      <c r="C650" s="13" t="str">
        <f>IF($D650="","",C649)</f>
        <v>Drip Cake 16 Cm</v>
      </c>
      <c r="D650" s="13" t="s">
        <v>642</v>
      </c>
      <c r="E650" s="13" t="str">
        <f>IFERROR(VLOOKUP($D650,Insumos!$B:$U,D$1,0),"")</f>
        <v>Grs</v>
      </c>
      <c r="F650" s="70">
        <v>150.0</v>
      </c>
      <c r="G650" s="70">
        <f>IFERROR(VLOOKUP($D650,Insumos!$B:$U,G$1,0)/VLOOKUP($D650,Insumos!$B:$U,F$1,0),"")</f>
        <v>9.2</v>
      </c>
      <c r="H650" s="70">
        <f t="shared" si="66"/>
        <v>1380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66">
        <v>61.0</v>
      </c>
      <c r="C651" s="66" t="s">
        <v>660</v>
      </c>
      <c r="D651" s="66" t="s">
        <v>395</v>
      </c>
      <c r="E651" s="66" t="str">
        <f>IFERROR(VLOOKUP($D651,Insumos!$B:$U,D$1,0),"")</f>
        <v>Grs</v>
      </c>
      <c r="F651" s="67">
        <v>300.0</v>
      </c>
      <c r="G651" s="67">
        <f>IFERROR(VLOOKUP($D651,Insumos!$B:$U,G$1,0)/VLOOKUP($D651,Insumos!$B:$U,F$1,0),"")</f>
        <v>1.4</v>
      </c>
      <c r="H651" s="67">
        <f t="shared" si="66"/>
        <v>420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3">
        <v>61.0</v>
      </c>
      <c r="C652" s="13" t="str">
        <f t="shared" ref="C652:C659" si="318">IF($D652="","",C651)</f>
        <v>Pan Dulce OREO kilo</v>
      </c>
      <c r="D652" s="13" t="s">
        <v>492</v>
      </c>
      <c r="E652" s="13" t="str">
        <f>IFERROR(VLOOKUP($D652,Insumos!$B:$U,D$1,0),"")</f>
        <v>Unidad</v>
      </c>
      <c r="F652" s="70">
        <v>6.0</v>
      </c>
      <c r="G652" s="70">
        <f>IFERROR(VLOOKUP($D652,Insumos!$B:$U,G$1,0)/VLOOKUP($D652,Insumos!$B:$U,F$1,0),"")</f>
        <v>166.6666667</v>
      </c>
      <c r="H652" s="70">
        <f t="shared" si="66"/>
        <v>1000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3">
        <f t="shared" ref="B653:B659" si="319">IF($D652="","",B652)</f>
        <v>61</v>
      </c>
      <c r="C653" s="13" t="str">
        <f t="shared" si="318"/>
        <v>Pan Dulce OREO kilo</v>
      </c>
      <c r="D653" s="13" t="s">
        <v>472</v>
      </c>
      <c r="E653" s="13" t="str">
        <f>IFERROR(VLOOKUP($D653,Insumos!$B:$U,D$1,0),"")</f>
        <v>Grs</v>
      </c>
      <c r="F653" s="70">
        <v>30.0</v>
      </c>
      <c r="G653" s="70">
        <f>IFERROR(VLOOKUP($D653,Insumos!$B:$U,G$1,0)/VLOOKUP($D653,Insumos!$B:$U,F$1,0),"")</f>
        <v>7</v>
      </c>
      <c r="H653" s="70">
        <f t="shared" si="66"/>
        <v>210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3">
        <f t="shared" si="319"/>
        <v>61</v>
      </c>
      <c r="C654" s="13" t="str">
        <f t="shared" si="318"/>
        <v>Pan Dulce OREO kilo</v>
      </c>
      <c r="D654" s="13" t="s">
        <v>656</v>
      </c>
      <c r="E654" s="13" t="str">
        <f>IFERROR(VLOOKUP($D654,Insumos!$B:$U,D$1,0),"")</f>
        <v>Grs</v>
      </c>
      <c r="F654" s="70">
        <v>900.0</v>
      </c>
      <c r="G654" s="70">
        <f>IFERROR(VLOOKUP($D654,Insumos!$B:$U,G$1,0)/VLOOKUP($D654,Insumos!$B:$U,F$1,0),"")</f>
        <v>0.82</v>
      </c>
      <c r="H654" s="70">
        <f t="shared" si="66"/>
        <v>738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3">
        <f t="shared" si="319"/>
        <v>61</v>
      </c>
      <c r="C655" s="13" t="str">
        <f t="shared" si="318"/>
        <v>Pan Dulce OREO kilo</v>
      </c>
      <c r="D655" s="13" t="s">
        <v>496</v>
      </c>
      <c r="E655" s="13" t="str">
        <f>IFERROR(VLOOKUP($D655,Insumos!$B:$U,D$1,0),"")</f>
        <v>Cm3</v>
      </c>
      <c r="F655" s="70">
        <v>150.0</v>
      </c>
      <c r="G655" s="70">
        <f>IFERROR(VLOOKUP($D655,Insumos!$B:$U,G$1,0)/VLOOKUP($D655,Insumos!$B:$U,F$1,0),"")</f>
        <v>2.1</v>
      </c>
      <c r="H655" s="70">
        <f t="shared" si="66"/>
        <v>315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3">
        <f t="shared" si="319"/>
        <v>61</v>
      </c>
      <c r="C656" s="13" t="str">
        <f t="shared" si="318"/>
        <v>Pan Dulce OREO kilo</v>
      </c>
      <c r="D656" s="13" t="s">
        <v>499</v>
      </c>
      <c r="E656" s="13" t="str">
        <f>IFERROR(VLOOKUP($D656,Insumos!$B:$U,D$1,0),"")</f>
        <v>Grs</v>
      </c>
      <c r="F656" s="70">
        <v>85.0</v>
      </c>
      <c r="G656" s="70">
        <f>IFERROR(VLOOKUP($D656,Insumos!$B:$U,G$1,0)/VLOOKUP($D656,Insumos!$B:$U,F$1,0),"")</f>
        <v>8</v>
      </c>
      <c r="H656" s="70">
        <f t="shared" si="66"/>
        <v>680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3">
        <f t="shared" si="319"/>
        <v>61</v>
      </c>
      <c r="C657" s="13" t="str">
        <f t="shared" si="318"/>
        <v>Pan Dulce OREO kilo</v>
      </c>
      <c r="D657" s="13" t="s">
        <v>661</v>
      </c>
      <c r="E657" s="13" t="str">
        <f>IFERROR(VLOOKUP($D657,Insumos!$B:$U,D$1,0),"")</f>
        <v>Grs</v>
      </c>
      <c r="F657" s="70">
        <v>100.0</v>
      </c>
      <c r="G657" s="70">
        <f>IFERROR(VLOOKUP($D657,Insumos!$B:$U,G$1,0)/VLOOKUP($D657,Insumos!$B:$U,F$1,0),"")</f>
        <v>36</v>
      </c>
      <c r="H657" s="70">
        <f t="shared" si="66"/>
        <v>3600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3">
        <f t="shared" si="319"/>
        <v>61</v>
      </c>
      <c r="C658" s="13" t="str">
        <f t="shared" si="318"/>
        <v>Pan Dulce OREO kilo</v>
      </c>
      <c r="D658" s="13" t="s">
        <v>568</v>
      </c>
      <c r="E658" s="13" t="str">
        <f>IFERROR(VLOOKUP($D658,Insumos!$B:$U,D$1,0),"")</f>
        <v>Grs</v>
      </c>
      <c r="F658" s="70">
        <v>300.0</v>
      </c>
      <c r="G658" s="70">
        <f>IFERROR(VLOOKUP($D658,Insumos!$B:$U,G$1,0)/VLOOKUP($D658,Insumos!$B:$U,F$1,0),"")</f>
        <v>11</v>
      </c>
      <c r="H658" s="70">
        <f t="shared" si="66"/>
        <v>3300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3">
        <f t="shared" si="319"/>
        <v>61</v>
      </c>
      <c r="C659" s="13" t="str">
        <f t="shared" si="318"/>
        <v>Pan Dulce OREO kilo</v>
      </c>
      <c r="D659" s="13" t="s">
        <v>614</v>
      </c>
      <c r="E659" s="13" t="s">
        <v>662</v>
      </c>
      <c r="F659" s="70">
        <v>30.0</v>
      </c>
      <c r="G659" s="70">
        <f>IFERROR(VLOOKUP($D659,Insumos!$B:$U,G$1,0)/VLOOKUP($D659,Insumos!$B:$U,F$1,0),"")</f>
        <v>4.5</v>
      </c>
      <c r="H659" s="70">
        <f t="shared" si="66"/>
        <v>135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66">
        <v>62.0</v>
      </c>
      <c r="C660" s="66" t="s">
        <v>663</v>
      </c>
      <c r="D660" s="66" t="s">
        <v>505</v>
      </c>
      <c r="E660" s="66" t="str">
        <f>IFERROR(VLOOKUP($D660,Insumos!$B:$U,D$1,0),"")</f>
        <v>Grs</v>
      </c>
      <c r="F660" s="67">
        <f>350+600</f>
        <v>950</v>
      </c>
      <c r="G660" s="67">
        <f>IFERROR(VLOOKUP($D660,Insumos!$B:$U,G$1,0)/VLOOKUP($D660,Insumos!$B:$U,F$1,0),"")</f>
        <v>11</v>
      </c>
      <c r="H660" s="67">
        <f t="shared" si="66"/>
        <v>10450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3">
        <v>62.0</v>
      </c>
      <c r="C661" s="13" t="str">
        <f t="shared" ref="C661:C665" si="320">IF($D661="","",C660)</f>
        <v>buttercream 20  cm </v>
      </c>
      <c r="D661" s="13" t="s">
        <v>492</v>
      </c>
      <c r="E661" s="13" t="str">
        <f>IFERROR(VLOOKUP($D661,Insumos!$B:$U,D$1,0),"")</f>
        <v>Unidad</v>
      </c>
      <c r="F661" s="70">
        <v>6.0</v>
      </c>
      <c r="G661" s="70">
        <f>IFERROR(VLOOKUP($D661,Insumos!$B:$U,G$1,0)/VLOOKUP($D661,Insumos!$B:$U,F$1,0),"")</f>
        <v>166.6666667</v>
      </c>
      <c r="H661" s="70">
        <f t="shared" si="66"/>
        <v>1000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3">
        <f t="shared" ref="B662:B666" si="321">IF($D661="","",B661)</f>
        <v>62</v>
      </c>
      <c r="C662" s="13" t="str">
        <f t="shared" si="320"/>
        <v>buttercream 20  cm </v>
      </c>
      <c r="D662" s="13" t="s">
        <v>395</v>
      </c>
      <c r="E662" s="13" t="str">
        <f>IFERROR(VLOOKUP($D662,Insumos!$B:$U,D$1,0),"")</f>
        <v>Grs</v>
      </c>
      <c r="F662" s="70">
        <v>350.0</v>
      </c>
      <c r="G662" s="70">
        <f>IFERROR(VLOOKUP($D662,Insumos!$B:$U,G$1,0)/VLOOKUP($D662,Insumos!$B:$U,F$1,0),"")</f>
        <v>1.4</v>
      </c>
      <c r="H662" s="70">
        <f t="shared" si="66"/>
        <v>490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3">
        <f t="shared" si="321"/>
        <v>62</v>
      </c>
      <c r="C663" s="13" t="str">
        <f t="shared" si="320"/>
        <v>buttercream 20  cm </v>
      </c>
      <c r="D663" s="13" t="s">
        <v>489</v>
      </c>
      <c r="E663" s="13" t="str">
        <f>IFERROR(VLOOKUP($D663,Insumos!$B:$U,D$1,0),"")</f>
        <v>Grs</v>
      </c>
      <c r="F663" s="70">
        <v>350.0</v>
      </c>
      <c r="G663" s="70">
        <f>IFERROR(VLOOKUP($D663,Insumos!$B:$U,G$1,0)/VLOOKUP($D663,Insumos!$B:$U,F$1,0),"")</f>
        <v>0.82</v>
      </c>
      <c r="H663" s="70">
        <f t="shared" si="66"/>
        <v>287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3">
        <f t="shared" si="321"/>
        <v>62</v>
      </c>
      <c r="C664" s="13" t="str">
        <f t="shared" si="320"/>
        <v>buttercream 20  cm </v>
      </c>
      <c r="D664" s="13" t="s">
        <v>528</v>
      </c>
      <c r="E664" s="13" t="str">
        <f>IFERROR(VLOOKUP($D664,Insumos!$B:$U,D$1,0),"")</f>
        <v>Grs</v>
      </c>
      <c r="F664" s="70">
        <v>15.0</v>
      </c>
      <c r="G664" s="70">
        <f>IFERROR(VLOOKUP($D664,Insumos!$B:$U,G$1,0)/VLOOKUP($D664,Insumos!$B:$U,F$1,0),"")</f>
        <v>8</v>
      </c>
      <c r="H664" s="70">
        <f t="shared" si="66"/>
        <v>120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3">
        <f t="shared" si="321"/>
        <v>62</v>
      </c>
      <c r="C665" s="13" t="str">
        <f t="shared" si="320"/>
        <v>buttercream 20  cm </v>
      </c>
      <c r="D665" s="13" t="s">
        <v>397</v>
      </c>
      <c r="E665" s="13" t="str">
        <f>IFERROR(VLOOKUP($D665,Insumos!$B:$U,D$1,0),"")</f>
        <v>Grs</v>
      </c>
      <c r="F665" s="70">
        <v>1000.0</v>
      </c>
      <c r="G665" s="70">
        <f>IFERROR(VLOOKUP($D665,Insumos!$B:$U,G$1,0)/VLOOKUP($D665,Insumos!$B:$U,F$1,0),"")</f>
        <v>1.5</v>
      </c>
      <c r="H665" s="70">
        <f t="shared" si="66"/>
        <v>1500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3">
        <f t="shared" si="321"/>
        <v>62</v>
      </c>
      <c r="C666" s="13" t="s">
        <v>664</v>
      </c>
      <c r="D666" s="13" t="s">
        <v>401</v>
      </c>
      <c r="E666" s="13" t="str">
        <f>IFERROR(VLOOKUP($D666,Insumos!$B:$U,D$1,0),"")</f>
        <v>Unidad</v>
      </c>
      <c r="F666" s="70">
        <v>1.0</v>
      </c>
      <c r="G666" s="70">
        <f>IFERROR(VLOOKUP($D666,Insumos!$B:$U,G$1,0)/VLOOKUP($D666,Insumos!$B:$U,F$1,0),"")</f>
        <v>1300</v>
      </c>
      <c r="H666" s="70">
        <f t="shared" si="66"/>
        <v>1300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3">
        <v>62.0</v>
      </c>
      <c r="C667" s="13" t="str">
        <f>IF($D667="","",C666)</f>
        <v>buttercream 20 cm </v>
      </c>
      <c r="D667" s="13" t="s">
        <v>430</v>
      </c>
      <c r="E667" s="13" t="str">
        <f>IFERROR(VLOOKUP($D667,Insumos!$B:$U,D$1,0),"")</f>
        <v>Unidad</v>
      </c>
      <c r="F667" s="70">
        <v>1.0</v>
      </c>
      <c r="G667" s="70">
        <f>IFERROR(VLOOKUP($D667,Insumos!$B:$U,G$1,0)/VLOOKUP($D667,Insumos!$B:$U,F$1,0),"")</f>
        <v>1400</v>
      </c>
      <c r="H667" s="70">
        <f t="shared" si="66"/>
        <v>1400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81">
        <f>IF($D667="","",B667)</f>
        <v>62</v>
      </c>
      <c r="C668" s="81" t="s">
        <v>664</v>
      </c>
      <c r="D668" s="81" t="s">
        <v>458</v>
      </c>
      <c r="E668" s="81" t="str">
        <f>IFERROR(VLOOKUP($D668,Insumos!$B:$U,D$1,0),"")</f>
        <v>Grs</v>
      </c>
      <c r="F668" s="82">
        <v>5.0</v>
      </c>
      <c r="G668" s="114">
        <f>IFERROR(VLOOKUP($D668,Insumos!$B:$U,G$1,0)/VLOOKUP($D668,Insumos!$B:$U,F$1,0),"")</f>
        <v>120</v>
      </c>
      <c r="H668" s="82">
        <f t="shared" si="66"/>
        <v>600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66">
        <v>64.0</v>
      </c>
      <c r="C669" s="66" t="s">
        <v>665</v>
      </c>
      <c r="D669" s="66" t="s">
        <v>481</v>
      </c>
      <c r="E669" s="66" t="str">
        <f>IFERROR(VLOOKUP($D669,Insumos!$B:$U,D$1,0),"")</f>
        <v>Grs</v>
      </c>
      <c r="F669" s="67">
        <f t="shared" ref="F669:F670" si="322">F454*3/24</f>
        <v>25</v>
      </c>
      <c r="G669" s="67">
        <f>IFERROR(VLOOKUP($D669,Insumos!$B:$U,G$1,0)/VLOOKUP($D669,Insumos!$B:$U,F$1,0),"")</f>
        <v>10.45751634</v>
      </c>
      <c r="H669" s="67">
        <f t="shared" si="66"/>
        <v>261.4379085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3">
        <v>64.0</v>
      </c>
      <c r="C670" s="13" t="str">
        <f t="shared" ref="C670:C678" si="323">IF($D670="","",C669)</f>
        <v>MINI CHEESCAKE </v>
      </c>
      <c r="D670" s="13" t="s">
        <v>568</v>
      </c>
      <c r="E670" s="13" t="str">
        <f>IFERROR(VLOOKUP($D670,Insumos!$B:$U,D$1,0),"")</f>
        <v>Grs</v>
      </c>
      <c r="F670" s="70">
        <f t="shared" si="322"/>
        <v>10</v>
      </c>
      <c r="G670" s="70">
        <f>IFERROR(VLOOKUP($D670,Insumos!$B:$U,G$1,0)/VLOOKUP($D670,Insumos!$B:$U,F$1,0),"")</f>
        <v>11</v>
      </c>
      <c r="H670" s="70">
        <f t="shared" si="66"/>
        <v>110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3">
        <v>64.0</v>
      </c>
      <c r="C671" s="13" t="str">
        <f t="shared" si="323"/>
        <v>MINI CHEESCAKE </v>
      </c>
      <c r="D671" s="13" t="s">
        <v>614</v>
      </c>
      <c r="E671" s="13" t="str">
        <f>IFERROR(VLOOKUP($D671,Insumos!$B:$U,D$1,0),"")</f>
        <v>Cm3</v>
      </c>
      <c r="F671" s="70" t="str">
        <f>#REF!*3/24</f>
        <v>#REF!</v>
      </c>
      <c r="G671" s="70">
        <f>IFERROR(VLOOKUP($D671,Insumos!$B:$U,G$1,0)/VLOOKUP($D671,Insumos!$B:$U,F$1,0),"")</f>
        <v>4.5</v>
      </c>
      <c r="H671" s="70" t="str">
        <f t="shared" si="66"/>
        <v/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3">
        <f t="shared" ref="B672:B678" si="324">IF($D671="","",B671)</f>
        <v>64</v>
      </c>
      <c r="C672" s="13" t="str">
        <f t="shared" si="323"/>
        <v>MINI CHEESCAKE </v>
      </c>
      <c r="D672" s="13" t="s">
        <v>533</v>
      </c>
      <c r="E672" s="13" t="str">
        <f>IFERROR(VLOOKUP($D672,Insumos!$B:$U,D$1,0),"")</f>
        <v>Grs</v>
      </c>
      <c r="F672" s="70">
        <f t="shared" ref="F672:F675" si="325">F456*3/24</f>
        <v>93.75</v>
      </c>
      <c r="G672" s="70">
        <f>IFERROR(VLOOKUP($D672,Insumos!$B:$U,G$1,0)/VLOOKUP($D672,Insumos!$B:$U,F$1,0),"")</f>
        <v>7.428571429</v>
      </c>
      <c r="H672" s="70">
        <f t="shared" si="66"/>
        <v>696.4285714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3">
        <f t="shared" si="324"/>
        <v>64</v>
      </c>
      <c r="C673" s="13" t="str">
        <f t="shared" si="323"/>
        <v>MINI CHEESCAKE </v>
      </c>
      <c r="D673" s="13" t="s">
        <v>395</v>
      </c>
      <c r="E673" s="13" t="str">
        <f>IFERROR(VLOOKUP($D673,Insumos!$B:$U,D$1,0),"")</f>
        <v>Grs</v>
      </c>
      <c r="F673" s="70">
        <f t="shared" si="325"/>
        <v>18.75</v>
      </c>
      <c r="G673" s="70">
        <f>IFERROR(VLOOKUP($D673,Insumos!$B:$U,G$1,0)/VLOOKUP($D673,Insumos!$B:$U,F$1,0),"")</f>
        <v>1.4</v>
      </c>
      <c r="H673" s="70">
        <f t="shared" si="66"/>
        <v>26.25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3">
        <f t="shared" si="324"/>
        <v>64</v>
      </c>
      <c r="C674" s="13" t="str">
        <f t="shared" si="323"/>
        <v>MINI CHEESCAKE </v>
      </c>
      <c r="D674" s="13" t="s">
        <v>462</v>
      </c>
      <c r="E674" s="13" t="str">
        <f>IFERROR(VLOOKUP($D674,Insumos!$B:$U,D$1,0),"")</f>
        <v>Grs</v>
      </c>
      <c r="F674" s="70">
        <f t="shared" si="325"/>
        <v>22.5</v>
      </c>
      <c r="G674" s="70">
        <f>IFERROR(VLOOKUP($D674,Insumos!$B:$U,G$1,0)/VLOOKUP($D674,Insumos!$B:$U,F$1,0),"")</f>
        <v>9.2</v>
      </c>
      <c r="H674" s="70">
        <f t="shared" si="66"/>
        <v>207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3">
        <f t="shared" si="324"/>
        <v>64</v>
      </c>
      <c r="C675" s="13" t="str">
        <f t="shared" si="323"/>
        <v>MINI CHEESCAKE </v>
      </c>
      <c r="D675" s="13" t="s">
        <v>492</v>
      </c>
      <c r="E675" s="13" t="str">
        <f>IFERROR(VLOOKUP($D675,Insumos!$B:$U,D$1,0),"")</f>
        <v>Unidad</v>
      </c>
      <c r="F675" s="70">
        <f t="shared" si="325"/>
        <v>0.375</v>
      </c>
      <c r="G675" s="70">
        <f>IFERROR(VLOOKUP($D675,Insumos!$B:$U,G$1,0)/VLOOKUP($D675,Insumos!$B:$U,F$1,0),"")</f>
        <v>166.6666667</v>
      </c>
      <c r="H675" s="70">
        <f t="shared" si="66"/>
        <v>62.5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3">
        <f t="shared" si="324"/>
        <v>64</v>
      </c>
      <c r="C676" s="13" t="str">
        <f t="shared" si="323"/>
        <v>MINI CHEESCAKE </v>
      </c>
      <c r="D676" s="13" t="s">
        <v>501</v>
      </c>
      <c r="E676" s="13" t="str">
        <f>IFERROR(VLOOKUP($D676,Insumos!$B:$U,D$1,0),"")</f>
        <v>Grs</v>
      </c>
      <c r="F676" s="70">
        <f>F463*3/24</f>
        <v>2.5</v>
      </c>
      <c r="G676" s="70">
        <f>IFERROR(VLOOKUP($D676,Insumos!$B:$U,G$1,0)/VLOOKUP($D676,Insumos!$B:$U,F$1,0),"")</f>
        <v>2.8</v>
      </c>
      <c r="H676" s="70">
        <f t="shared" si="66"/>
        <v>7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3">
        <f t="shared" si="324"/>
        <v>64</v>
      </c>
      <c r="C677" s="13" t="str">
        <f t="shared" si="323"/>
        <v>MINI CHEESCAKE </v>
      </c>
      <c r="D677" s="13" t="s">
        <v>404</v>
      </c>
      <c r="E677" s="13" t="str">
        <f>IFERROR(VLOOKUP($D677,Insumos!$B:$U,D$1,0),"")</f>
        <v>Unidad</v>
      </c>
      <c r="F677" s="70" t="str">
        <f>#REF!*3/24</f>
        <v>#REF!</v>
      </c>
      <c r="G677" s="70">
        <f>IFERROR(VLOOKUP($D677,Insumos!$B:$U,G$1,0)/VLOOKUP($D677,Insumos!$B:$U,F$1,0),"")</f>
        <v>1300</v>
      </c>
      <c r="H677" s="70" t="str">
        <f t="shared" si="66"/>
        <v/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3">
        <f t="shared" si="324"/>
        <v>64</v>
      </c>
      <c r="C678" s="13" t="str">
        <f t="shared" si="323"/>
        <v>MINI CHEESCAKE </v>
      </c>
      <c r="D678" s="13" t="s">
        <v>426</v>
      </c>
      <c r="E678" s="13" t="str">
        <f>IFERROR(VLOOKUP($D678,Insumos!$B:$U,D$1,0),"")</f>
        <v>Unidad</v>
      </c>
      <c r="F678" s="70">
        <f>F464*3/24</f>
        <v>0.125</v>
      </c>
      <c r="G678" s="70">
        <f>IFERROR(VLOOKUP($D678,Insumos!$B:$U,G$1,0)/VLOOKUP($D678,Insumos!$B:$U,F$1,0),"")</f>
        <v>975</v>
      </c>
      <c r="H678" s="70">
        <f t="shared" si="66"/>
        <v>121.875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66">
        <v>65.0</v>
      </c>
      <c r="C679" s="112" t="s">
        <v>372</v>
      </c>
      <c r="D679" s="66" t="s">
        <v>590</v>
      </c>
      <c r="E679" s="66" t="str">
        <f>IFERROR(VLOOKUP($D679,Insumos!$B:$U,D$1,0),"")</f>
        <v>Grs</v>
      </c>
      <c r="F679" s="67">
        <f>117*4</f>
        <v>468</v>
      </c>
      <c r="G679" s="67">
        <f>IFERROR(VLOOKUP($D679,Insumos!$B:$U,G$1,0)/VLOOKUP($D679,Insumos!$B:$U,F$1,0),"")</f>
        <v>14.52991453</v>
      </c>
      <c r="H679" s="67">
        <f t="shared" si="66"/>
        <v>6800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3">
        <v>65.0</v>
      </c>
      <c r="C680" s="75" t="str">
        <f t="shared" ref="C680:C683" si="326">IF($D680="","",C679)</f>
        <v>Doble Oreo 22cm</v>
      </c>
      <c r="D680" s="13" t="s">
        <v>462</v>
      </c>
      <c r="E680" s="13" t="str">
        <f>IFERROR(VLOOKUP($D680,Insumos!$B:$U,D$1,0),"")</f>
        <v>Grs</v>
      </c>
      <c r="F680" s="70">
        <v>500.0</v>
      </c>
      <c r="G680" s="70">
        <f>IFERROR(VLOOKUP($D680,Insumos!$B:$U,G$1,0)/VLOOKUP($D680,Insumos!$B:$U,F$1,0),"")</f>
        <v>9.2</v>
      </c>
      <c r="H680" s="70">
        <f t="shared" si="66"/>
        <v>4600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3">
        <f t="shared" ref="B681:B683" si="327">IF($D680="","",B680)</f>
        <v>65</v>
      </c>
      <c r="C681" s="75" t="str">
        <f t="shared" si="326"/>
        <v>Doble Oreo 22cm</v>
      </c>
      <c r="D681" s="13" t="s">
        <v>466</v>
      </c>
      <c r="E681" s="13" t="str">
        <f>IFERROR(VLOOKUP($D681,Insumos!$B:$U,D$1,0),"")</f>
        <v>Grs</v>
      </c>
      <c r="F681" s="70">
        <v>600.0</v>
      </c>
      <c r="G681" s="70">
        <f>IFERROR(VLOOKUP($D681,Insumos!$B:$U,G$1,0)/VLOOKUP($D681,Insumos!$B:$U,F$1,0),"")</f>
        <v>3.4</v>
      </c>
      <c r="H681" s="70">
        <f t="shared" si="66"/>
        <v>2040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3">
        <f t="shared" si="327"/>
        <v>65</v>
      </c>
      <c r="C682" s="75" t="str">
        <f t="shared" si="326"/>
        <v>Doble Oreo 22cm</v>
      </c>
      <c r="D682" s="13" t="s">
        <v>401</v>
      </c>
      <c r="E682" s="13" t="str">
        <f>IFERROR(VLOOKUP($D682,Insumos!$B:$U,D$1,0),"")</f>
        <v>Unidad</v>
      </c>
      <c r="F682" s="70">
        <v>1.0</v>
      </c>
      <c r="G682" s="70">
        <f>IFERROR(VLOOKUP($D682,Insumos!$B:$U,G$1,0)/VLOOKUP($D682,Insumos!$B:$U,F$1,0),"")</f>
        <v>1300</v>
      </c>
      <c r="H682" s="70">
        <f t="shared" si="66"/>
        <v>1300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3">
        <f t="shared" si="327"/>
        <v>65</v>
      </c>
      <c r="C683" s="75" t="str">
        <f t="shared" si="326"/>
        <v>Doble Oreo 22cm</v>
      </c>
      <c r="D683" s="13" t="s">
        <v>426</v>
      </c>
      <c r="E683" s="13" t="str">
        <f>IFERROR(VLOOKUP($D683,Insumos!$B:$U,D$1,0),"")</f>
        <v>Unidad</v>
      </c>
      <c r="F683" s="70">
        <v>1.0</v>
      </c>
      <c r="G683" s="70">
        <f>IFERROR(VLOOKUP($D683,Insumos!$B:$U,G$1,0)/VLOOKUP($D683,Insumos!$B:$U,F$1,0),"")</f>
        <v>975</v>
      </c>
      <c r="H683" s="70">
        <f t="shared" si="66"/>
        <v>975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3">
        <f>IF($D681="","",B681)</f>
        <v>65</v>
      </c>
      <c r="C684" s="75" t="str">
        <f>IF($D684="","",C681)</f>
        <v>Doble Oreo 22cm</v>
      </c>
      <c r="D684" s="13" t="s">
        <v>568</v>
      </c>
      <c r="E684" s="13" t="str">
        <f>IFERROR(VLOOKUP($D684,Insumos!$B:$U,D$1,0),"")</f>
        <v>Grs</v>
      </c>
      <c r="F684" s="70">
        <v>200.0</v>
      </c>
      <c r="G684" s="70">
        <f>IFERROR(VLOOKUP($D684,Insumos!$B:$U,G$1,0)/VLOOKUP($D684,Insumos!$B:$U,F$1,0),"")</f>
        <v>11</v>
      </c>
      <c r="H684" s="70">
        <f t="shared" si="66"/>
        <v>2200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66">
        <v>66.0</v>
      </c>
      <c r="C685" s="66" t="s">
        <v>666</v>
      </c>
      <c r="D685" s="66" t="s">
        <v>395</v>
      </c>
      <c r="E685" s="66" t="str">
        <f>IFERROR(VLOOKUP($D685,Insumos!$B:$U,D$1,0),"")</f>
        <v>Grs</v>
      </c>
      <c r="F685" s="67">
        <f>230</f>
        <v>230</v>
      </c>
      <c r="G685" s="67">
        <f>IFERROR(VLOOKUP($D685,Insumos!$B:$U,G$1,0)/VLOOKUP($D685,Insumos!$B:$U,F$1,0),"")</f>
        <v>1.4</v>
      </c>
      <c r="H685" s="67">
        <f t="shared" si="66"/>
        <v>322</v>
      </c>
      <c r="I685" s="60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3">
        <v>66.0</v>
      </c>
      <c r="C686" s="13" t="str">
        <f t="shared" ref="C686:C694" si="328">IF($D686="","",C685)</f>
        <v>Macarrons x 48 unidades</v>
      </c>
      <c r="D686" s="13" t="s">
        <v>490</v>
      </c>
      <c r="E686" s="13" t="str">
        <f>IFERROR(VLOOKUP($D686,Insumos!$B:$U,D$1,0),"")</f>
        <v>Grs</v>
      </c>
      <c r="F686" s="70">
        <f>125</f>
        <v>125</v>
      </c>
      <c r="G686" s="70">
        <f>IFERROR(VLOOKUP($D686,Insumos!$B:$U,G$1,0)/VLOOKUP($D686,Insumos!$B:$U,F$1,0),"")</f>
        <v>32</v>
      </c>
      <c r="H686" s="70">
        <f t="shared" si="66"/>
        <v>4000</v>
      </c>
      <c r="I686" s="60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3">
        <f t="shared" ref="B687:B694" si="329">IF($D686="","",B686)</f>
        <v>66</v>
      </c>
      <c r="C687" s="13" t="str">
        <f t="shared" si="328"/>
        <v>Macarrons x 48 unidades</v>
      </c>
      <c r="D687" s="13" t="s">
        <v>492</v>
      </c>
      <c r="E687" s="13" t="str">
        <f>IFERROR(VLOOKUP($D687,Insumos!$B:$U,D$1,0),"")</f>
        <v>Unidad</v>
      </c>
      <c r="F687" s="70">
        <v>4.0</v>
      </c>
      <c r="G687" s="70">
        <f>IFERROR(VLOOKUP($D687,Insumos!$B:$U,G$1,0)/VLOOKUP($D687,Insumos!$B:$U,F$1,0),"")</f>
        <v>166.6666667</v>
      </c>
      <c r="H687" s="70">
        <f t="shared" si="66"/>
        <v>666.6666667</v>
      </c>
      <c r="I687" s="60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3">
        <f t="shared" si="329"/>
        <v>66</v>
      </c>
      <c r="C688" s="13" t="str">
        <f t="shared" si="328"/>
        <v>Macarrons x 48 unidades</v>
      </c>
      <c r="D688" s="13" t="s">
        <v>397</v>
      </c>
      <c r="E688" s="13" t="str">
        <f>IFERROR(VLOOKUP($D688,Insumos!$B:$U,D$1,0),"")</f>
        <v>Grs</v>
      </c>
      <c r="F688" s="70">
        <v>125.0</v>
      </c>
      <c r="G688" s="70">
        <f>IFERROR(VLOOKUP($D688,Insumos!$B:$U,G$1,0)/VLOOKUP($D688,Insumos!$B:$U,F$1,0),"")</f>
        <v>1.5</v>
      </c>
      <c r="H688" s="70">
        <f t="shared" si="66"/>
        <v>187.5</v>
      </c>
      <c r="I688" s="60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3">
        <f t="shared" si="329"/>
        <v>66</v>
      </c>
      <c r="C689" s="13" t="str">
        <f t="shared" si="328"/>
        <v>Macarrons x 48 unidades</v>
      </c>
      <c r="D689" s="13" t="s">
        <v>458</v>
      </c>
      <c r="E689" s="13" t="str">
        <f>IFERROR(VLOOKUP($D689,Insumos!$B:$U,D$1,0),"")</f>
        <v>Grs</v>
      </c>
      <c r="F689" s="70">
        <f>1/(45/10)*5</f>
        <v>1.111111111</v>
      </c>
      <c r="G689" s="70">
        <f>IFERROR(VLOOKUP($D689,Insumos!$B:$U,G$1,0)/VLOOKUP($D689,Insumos!$B:$U,F$1,0),"")</f>
        <v>120</v>
      </c>
      <c r="H689" s="70">
        <f t="shared" si="66"/>
        <v>133.3333333</v>
      </c>
      <c r="I689" s="60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3">
        <f t="shared" si="329"/>
        <v>66</v>
      </c>
      <c r="C690" s="13" t="str">
        <f t="shared" si="328"/>
        <v>Macarrons x 48 unidades</v>
      </c>
      <c r="D690" s="13" t="s">
        <v>541</v>
      </c>
      <c r="E690" s="13" t="str">
        <f>IFERROR(VLOOKUP($D690,Insumos!$B:$U,D$1,0),"")</f>
        <v>Grs</v>
      </c>
      <c r="F690" s="70">
        <v>10.0</v>
      </c>
      <c r="G690" s="70">
        <f>IFERROR(VLOOKUP($D690,Insumos!$B:$U,G$1,0)/VLOOKUP($D690,Insumos!$B:$U,F$1,0),"")</f>
        <v>48</v>
      </c>
      <c r="H690" s="70">
        <f t="shared" si="66"/>
        <v>480</v>
      </c>
      <c r="I690" s="60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3">
        <f t="shared" si="329"/>
        <v>66</v>
      </c>
      <c r="C691" s="13" t="str">
        <f t="shared" si="328"/>
        <v>Macarrons x 48 unidades</v>
      </c>
      <c r="D691" s="13" t="s">
        <v>462</v>
      </c>
      <c r="E691" s="13" t="str">
        <f>IFERROR(VLOOKUP($D691,Insumos!$B:$U,D$1,0),"")</f>
        <v>Grs</v>
      </c>
      <c r="F691" s="70">
        <v>20.0</v>
      </c>
      <c r="G691" s="70">
        <f>IFERROR(VLOOKUP($D691,Insumos!$B:$U,G$1,0)/VLOOKUP($D691,Insumos!$B:$U,F$1,0),"")</f>
        <v>9.2</v>
      </c>
      <c r="H691" s="70">
        <f t="shared" si="66"/>
        <v>184</v>
      </c>
      <c r="I691" s="60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3">
        <f t="shared" si="329"/>
        <v>66</v>
      </c>
      <c r="C692" s="13" t="str">
        <f t="shared" si="328"/>
        <v>Macarrons x 48 unidades</v>
      </c>
      <c r="D692" s="13" t="s">
        <v>454</v>
      </c>
      <c r="E692" s="13" t="str">
        <f>IFERROR(VLOOKUP($D692,Insumos!$B:$U,D$1,0),"")</f>
        <v>Grs</v>
      </c>
      <c r="F692" s="70">
        <v>60.0</v>
      </c>
      <c r="G692" s="70">
        <f>IFERROR(VLOOKUP($D692,Insumos!$B:$U,G$1,0)/VLOOKUP($D692,Insumos!$B:$U,F$1,0),"")</f>
        <v>10</v>
      </c>
      <c r="H692" s="70">
        <f t="shared" si="66"/>
        <v>600</v>
      </c>
      <c r="I692" s="60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3">
        <f t="shared" si="329"/>
        <v>66</v>
      </c>
      <c r="C693" s="13" t="str">
        <f t="shared" si="328"/>
        <v>Macarrons x 48 unidades</v>
      </c>
      <c r="D693" s="13" t="s">
        <v>504</v>
      </c>
      <c r="E693" s="13" t="str">
        <f>IFERROR(VLOOKUP($D693,Insumos!$B:$U,D$1,0),"")</f>
        <v>Unidad</v>
      </c>
      <c r="F693" s="70">
        <v>2.0</v>
      </c>
      <c r="G693" s="70">
        <f>IFERROR(VLOOKUP($D693,Insumos!$B:$U,G$1,0)/VLOOKUP($D693,Insumos!$B:$U,F$1,0),"")</f>
        <v>400</v>
      </c>
      <c r="H693" s="70">
        <f t="shared" si="66"/>
        <v>800</v>
      </c>
      <c r="I693" s="60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3">
        <f t="shared" si="329"/>
        <v>66</v>
      </c>
      <c r="C694" s="13" t="str">
        <f t="shared" si="328"/>
        <v>Macarrons x 48 unidades</v>
      </c>
      <c r="D694" s="13" t="s">
        <v>433</v>
      </c>
      <c r="E694" s="13" t="str">
        <f>IFERROR(VLOOKUP($D694,Insumos!$B:$U,D$1,0),"")</f>
        <v>Unidad</v>
      </c>
      <c r="F694" s="70">
        <v>1.0</v>
      </c>
      <c r="G694" s="70">
        <f>IFERROR(VLOOKUP($D694,Insumos!$B:$U,G$1,0)/VLOOKUP($D694,Insumos!$B:$U,F$1,0),"")</f>
        <v>300</v>
      </c>
      <c r="H694" s="70">
        <f t="shared" si="66"/>
        <v>300</v>
      </c>
      <c r="I694" s="60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66">
        <v>67.0</v>
      </c>
      <c r="C695" s="66" t="s">
        <v>667</v>
      </c>
      <c r="D695" s="66" t="s">
        <v>584</v>
      </c>
      <c r="E695" s="66" t="str">
        <f>IFERROR(VLOOKUP($D695,Insumos!$B:$U,D$1,0),"")</f>
        <v>Grs</v>
      </c>
      <c r="F695" s="67">
        <f>F523/15*12</f>
        <v>400</v>
      </c>
      <c r="G695" s="67">
        <f>IFERROR(VLOOKUP($D695,Insumos!$B:$U,G$1,0)/VLOOKUP($D695,Insumos!$B:$U,F$1,0),"")</f>
        <v>10</v>
      </c>
      <c r="H695" s="67">
        <f t="shared" si="66"/>
        <v>4000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3">
        <v>67.0</v>
      </c>
      <c r="C696" s="13" t="str">
        <f t="shared" ref="C696:C700" si="330">IF($D696="","",C695)</f>
        <v>Huevos Rellenos N12 chocotorta</v>
      </c>
      <c r="D696" s="13" t="s">
        <v>455</v>
      </c>
      <c r="E696" s="13" t="str">
        <f>IFERROR(VLOOKUP($D696,Insumos!$B:$U,D$1,0),"")</f>
        <v>Grs</v>
      </c>
      <c r="F696" s="70">
        <v>50.0</v>
      </c>
      <c r="G696" s="70">
        <f>IFERROR(VLOOKUP($D696,Insumos!$B:$U,G$1,0)/VLOOKUP($D696,Insumos!$B:$U,F$1,0),"")</f>
        <v>7.6</v>
      </c>
      <c r="H696" s="70">
        <f t="shared" si="66"/>
        <v>380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3">
        <f t="shared" ref="B697:B700" si="331">IF($D696="","",B696)</f>
        <v>67</v>
      </c>
      <c r="C697" s="13" t="str">
        <f t="shared" si="330"/>
        <v>Huevos Rellenos N12 chocotorta</v>
      </c>
      <c r="D697" s="13" t="s">
        <v>466</v>
      </c>
      <c r="E697" s="13" t="str">
        <f>IFERROR(VLOOKUP($D697,Insumos!$B:$U,D$1,0),"")</f>
        <v>Grs</v>
      </c>
      <c r="F697" s="70">
        <f t="shared" ref="F697:F698" si="332">F525/15*12</f>
        <v>80</v>
      </c>
      <c r="G697" s="70">
        <f>IFERROR(VLOOKUP($D697,Insumos!$B:$U,G$1,0)/VLOOKUP($D697,Insumos!$B:$U,F$1,0),"")</f>
        <v>3.4</v>
      </c>
      <c r="H697" s="70">
        <f t="shared" si="66"/>
        <v>272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3">
        <f t="shared" si="331"/>
        <v>67</v>
      </c>
      <c r="C698" s="13" t="str">
        <f t="shared" si="330"/>
        <v>Huevos Rellenos N12 chocotorta</v>
      </c>
      <c r="D698" s="13" t="s">
        <v>533</v>
      </c>
      <c r="E698" s="13" t="str">
        <f>IFERROR(VLOOKUP($D698,Insumos!$B:$U,D$1,0),"")</f>
        <v>Grs</v>
      </c>
      <c r="F698" s="70">
        <f t="shared" si="332"/>
        <v>80</v>
      </c>
      <c r="G698" s="70">
        <f>IFERROR(VLOOKUP($D698,Insumos!$B:$U,G$1,0)/VLOOKUP($D698,Insumos!$B:$U,F$1,0),"")</f>
        <v>7.428571429</v>
      </c>
      <c r="H698" s="70">
        <f t="shared" si="66"/>
        <v>594.2857143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3">
        <f t="shared" si="331"/>
        <v>67</v>
      </c>
      <c r="C699" s="13" t="str">
        <f t="shared" si="330"/>
        <v>Huevos Rellenos N12 chocotorta</v>
      </c>
      <c r="D699" s="13" t="s">
        <v>464</v>
      </c>
      <c r="E699" s="13" t="str">
        <f>IFERROR(VLOOKUP($D699,Insumos!$B:$U,D$1,0),"")</f>
        <v>Unidad</v>
      </c>
      <c r="F699" s="70">
        <v>1.0</v>
      </c>
      <c r="G699" s="70">
        <f>IFERROR(VLOOKUP($D699,Insumos!$B:$U,G$1,0)/VLOOKUP($D699,Insumos!$B:$U,F$1,0),"")</f>
        <v>53</v>
      </c>
      <c r="H699" s="70">
        <f t="shared" si="66"/>
        <v>53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3">
        <f t="shared" si="331"/>
        <v>67</v>
      </c>
      <c r="C700" s="13" t="str">
        <f t="shared" si="330"/>
        <v>Huevos Rellenos N12 chocotorta</v>
      </c>
      <c r="D700" s="13" t="s">
        <v>471</v>
      </c>
      <c r="E700" s="13" t="str">
        <f>IFERROR(VLOOKUP($D700,Insumos!$B:$U,D$1,0),"")</f>
        <v>Unidad</v>
      </c>
      <c r="F700" s="70">
        <v>1.0</v>
      </c>
      <c r="G700" s="70">
        <f>IFERROR(VLOOKUP($D700,Insumos!$B:$U,G$1,0)/VLOOKUP($D700,Insumos!$B:$U,F$1,0),"")</f>
        <v>12.66666667</v>
      </c>
      <c r="H700" s="70">
        <f t="shared" si="66"/>
        <v>12.66666667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3">
        <f>IF($D698="","",B698)</f>
        <v>67</v>
      </c>
      <c r="C701" s="13" t="str">
        <f>IF($D701="","",C698)</f>
        <v>Huevos Rellenos N12 chocotorta</v>
      </c>
      <c r="D701" s="13" t="s">
        <v>441</v>
      </c>
      <c r="E701" s="13" t="str">
        <f>IFERROR(VLOOKUP($D701,Insumos!$B:$U,D$1,0),"")</f>
        <v>Unidad</v>
      </c>
      <c r="F701" s="70">
        <v>1.0</v>
      </c>
      <c r="G701" s="70">
        <f>IFERROR(VLOOKUP($D701,Insumos!$B:$U,G$1,0)/VLOOKUP($D701,Insumos!$B:$U,F$1,0),"")</f>
        <v>831</v>
      </c>
      <c r="H701" s="70">
        <f t="shared" si="66"/>
        <v>831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66">
        <v>68.0</v>
      </c>
      <c r="C702" s="66" t="s">
        <v>668</v>
      </c>
      <c r="D702" s="66" t="s">
        <v>584</v>
      </c>
      <c r="E702" s="66" t="str">
        <f>IFERROR(VLOOKUP($D702,Insumos!$B:$U,D$1,0),"")</f>
        <v>Grs</v>
      </c>
      <c r="F702" s="67">
        <f t="shared" ref="F702:F703" si="333">F523</f>
        <v>500</v>
      </c>
      <c r="G702" s="67">
        <f>IFERROR(VLOOKUP($D702,Insumos!$B:$U,G$1,0)/VLOOKUP($D702,Insumos!$B:$U,F$1,0),"")</f>
        <v>10</v>
      </c>
      <c r="H702" s="67">
        <f t="shared" si="66"/>
        <v>5000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3">
        <v>68.0</v>
      </c>
      <c r="C703" s="13" t="str">
        <f t="shared" ref="C703:C708" si="334">IF($D703="","",C702)</f>
        <v>Huevos Rellenos N15 oreo</v>
      </c>
      <c r="D703" s="13" t="s">
        <v>590</v>
      </c>
      <c r="E703" s="13" t="str">
        <f>IFERROR(VLOOKUP($D703,Insumos!$B:$U,D$1,0),"")</f>
        <v>Grs</v>
      </c>
      <c r="F703" s="70">
        <f t="shared" si="333"/>
        <v>70</v>
      </c>
      <c r="G703" s="70">
        <f>IFERROR(VLOOKUP($D703,Insumos!$B:$U,G$1,0)/VLOOKUP($D703,Insumos!$B:$U,F$1,0),"")</f>
        <v>14.52991453</v>
      </c>
      <c r="H703" s="70">
        <f t="shared" si="66"/>
        <v>1017.094017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3">
        <f t="shared" ref="B704:B708" si="335">IF($D703="","",B703)</f>
        <v>68</v>
      </c>
      <c r="C704" s="13" t="str">
        <f t="shared" si="334"/>
        <v>Huevos Rellenos N15 oreo</v>
      </c>
      <c r="D704" s="13" t="s">
        <v>642</v>
      </c>
      <c r="E704" s="13" t="str">
        <f>IFERROR(VLOOKUP($D704,Insumos!$B:$U,D$1,0),"")</f>
        <v>Grs</v>
      </c>
      <c r="F704" s="70">
        <v>75.0</v>
      </c>
      <c r="G704" s="70">
        <f>IFERROR(VLOOKUP($D704,Insumos!$B:$U,G$1,0)/VLOOKUP($D704,Insumos!$B:$U,F$1,0),"")</f>
        <v>9.2</v>
      </c>
      <c r="H704" s="70">
        <f t="shared" si="66"/>
        <v>690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3">
        <f t="shared" si="335"/>
        <v>68</v>
      </c>
      <c r="C705" s="13" t="str">
        <f t="shared" si="334"/>
        <v>Huevos Rellenos N15 oreo</v>
      </c>
      <c r="D705" s="13" t="s">
        <v>568</v>
      </c>
      <c r="E705" s="13" t="str">
        <f>IFERROR(VLOOKUP($D705,Insumos!$B:$U,D$1,0),"")</f>
        <v>Grs</v>
      </c>
      <c r="F705" s="70">
        <v>50.0</v>
      </c>
      <c r="G705" s="70">
        <f>IFERROR(VLOOKUP($D705,Insumos!$B:$U,G$1,0)/VLOOKUP($D705,Insumos!$B:$U,F$1,0),"")</f>
        <v>11</v>
      </c>
      <c r="H705" s="70">
        <f t="shared" si="66"/>
        <v>550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3">
        <f t="shared" si="335"/>
        <v>68</v>
      </c>
      <c r="C706" s="13" t="str">
        <f t="shared" si="334"/>
        <v>Huevos Rellenos N15 oreo</v>
      </c>
      <c r="D706" s="13" t="s">
        <v>466</v>
      </c>
      <c r="E706" s="13" t="str">
        <f>IFERROR(VLOOKUP($D706,Insumos!$B:$U,D$1,0),"")</f>
        <v>Grs</v>
      </c>
      <c r="F706" s="70">
        <v>100.0</v>
      </c>
      <c r="G706" s="70">
        <f>IFERROR(VLOOKUP($D706,Insumos!$B:$U,G$1,0)/VLOOKUP($D706,Insumos!$B:$U,F$1,0),"")</f>
        <v>3.4</v>
      </c>
      <c r="H706" s="70">
        <f t="shared" si="66"/>
        <v>340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3">
        <f t="shared" si="335"/>
        <v>68</v>
      </c>
      <c r="C707" s="13" t="str">
        <f t="shared" si="334"/>
        <v>Huevos Rellenos N15 oreo</v>
      </c>
      <c r="D707" s="13" t="s">
        <v>464</v>
      </c>
      <c r="E707" s="13" t="str">
        <f>IFERROR(VLOOKUP($D707,Insumos!$B:$U,D$1,0),"")</f>
        <v>Unidad</v>
      </c>
      <c r="F707" s="70">
        <v>1.0</v>
      </c>
      <c r="G707" s="70">
        <f>IFERROR(VLOOKUP($D707,Insumos!$B:$U,G$1,0)/VLOOKUP($D707,Insumos!$B:$U,F$1,0),"")</f>
        <v>53</v>
      </c>
      <c r="H707" s="70">
        <f t="shared" si="66"/>
        <v>53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3">
        <f t="shared" si="335"/>
        <v>68</v>
      </c>
      <c r="C708" s="13" t="str">
        <f t="shared" si="334"/>
        <v>Huevos Rellenos N15 oreo</v>
      </c>
      <c r="D708" s="13" t="s">
        <v>471</v>
      </c>
      <c r="E708" s="13" t="str">
        <f>IFERROR(VLOOKUP($D708,Insumos!$B:$U,D$1,0),"")</f>
        <v>Unidad</v>
      </c>
      <c r="F708" s="70">
        <v>1.0</v>
      </c>
      <c r="G708" s="70">
        <f>IFERROR(VLOOKUP($D708,Insumos!$B:$U,G$1,0)/VLOOKUP($D708,Insumos!$B:$U,F$1,0),"")</f>
        <v>12.66666667</v>
      </c>
      <c r="H708" s="70">
        <f t="shared" si="66"/>
        <v>12.66666667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3">
        <f>IF($D706="","",B706)</f>
        <v>68</v>
      </c>
      <c r="C709" s="13" t="str">
        <f>IF($D709="","",C706)</f>
        <v>Huevos Rellenos N15 oreo</v>
      </c>
      <c r="D709" s="13" t="s">
        <v>441</v>
      </c>
      <c r="E709" s="13" t="str">
        <f>IFERROR(VLOOKUP($D709,Insumos!$B:$U,D$1,0),"")</f>
        <v>Unidad</v>
      </c>
      <c r="F709" s="70">
        <v>1.0</v>
      </c>
      <c r="G709" s="70">
        <f>IFERROR(VLOOKUP($D709,Insumos!$B:$U,G$1,0)/VLOOKUP($D709,Insumos!$B:$U,F$1,0),"")</f>
        <v>831</v>
      </c>
      <c r="H709" s="70">
        <f t="shared" si="66"/>
        <v>831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66">
        <v>69.0</v>
      </c>
      <c r="C710" s="66" t="s">
        <v>669</v>
      </c>
      <c r="D710" s="66" t="s">
        <v>488</v>
      </c>
      <c r="E710" s="66" t="str">
        <f>IFERROR(VLOOKUP($D710,Insumos!$B:$U,D$1,0),"")</f>
        <v>Grs</v>
      </c>
      <c r="F710" s="67">
        <v>750.0</v>
      </c>
      <c r="G710" s="111">
        <f>IFERROR(VLOOKUP($D710,Insumos!$B:$U,G$1,0)/VLOOKUP($D710,Insumos!$B:$U,F$1,0),"")</f>
        <v>0.79</v>
      </c>
      <c r="H710" s="67">
        <f t="shared" si="66"/>
        <v>592.5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3">
        <v>69.0</v>
      </c>
      <c r="C711" s="13" t="str">
        <f t="shared" ref="C711:C712" si="336">IF($D711="","",C710)</f>
        <v>pizzetas x 12 </v>
      </c>
      <c r="D711" s="13" t="s">
        <v>499</v>
      </c>
      <c r="E711" s="13" t="str">
        <f>IFERROR(VLOOKUP($D711,Insumos!$B:$U,D$1,0),"")</f>
        <v>Grs</v>
      </c>
      <c r="F711" s="70">
        <v>45.0</v>
      </c>
      <c r="G711" s="70">
        <f>IFERROR(VLOOKUP($D711,Insumos!$B:$U,G$1,0)/VLOOKUP($D711,Insumos!$B:$U,F$1,0),"")</f>
        <v>8</v>
      </c>
      <c r="H711" s="70">
        <f t="shared" si="66"/>
        <v>360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3">
        <v>69.0</v>
      </c>
      <c r="C712" s="13" t="str">
        <f t="shared" si="336"/>
        <v>pizzetas x 12 </v>
      </c>
      <c r="D712" s="13" t="s">
        <v>542</v>
      </c>
      <c r="E712" s="13" t="str">
        <f>IFERROR(VLOOKUP($D712,Insumos!$B:$U,D$1,0),"")</f>
        <v>Grs</v>
      </c>
      <c r="F712" s="70">
        <f>340/50*12</f>
        <v>81.6</v>
      </c>
      <c r="G712" s="70">
        <f>IFERROR(VLOOKUP($D712,Insumos!$B:$U,G$1,0)/VLOOKUP($D712,Insumos!$B:$U,F$1,0),"")</f>
        <v>2.352941176</v>
      </c>
      <c r="H712" s="70">
        <f t="shared" si="66"/>
        <v>192</v>
      </c>
      <c r="I712" s="60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3">
        <f>IF($D711="","",B711)</f>
        <v>69</v>
      </c>
      <c r="C713" s="13" t="str">
        <f>IF($D713="","",C711)</f>
        <v>pizzetas x 12 </v>
      </c>
      <c r="D713" s="13" t="s">
        <v>388</v>
      </c>
      <c r="E713" s="13" t="str">
        <f>IFERROR(VLOOKUP($D713,Insumos!$B:$U,D$1,0),"")</f>
        <v>Cm3</v>
      </c>
      <c r="F713" s="70">
        <v>50.0</v>
      </c>
      <c r="G713" s="70">
        <f>IFERROR(VLOOKUP($D713,Insumos!$B:$U,G$1,0)/VLOOKUP($D713,Insumos!$B:$U,F$1,0),"")</f>
        <v>1.285714286</v>
      </c>
      <c r="H713" s="70">
        <f t="shared" si="66"/>
        <v>64.28571429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5">
        <v>70.0</v>
      </c>
      <c r="C714" s="115" t="s">
        <v>670</v>
      </c>
      <c r="D714" s="66" t="s">
        <v>568</v>
      </c>
      <c r="E714" s="66" t="str">
        <f>IFERROR(VLOOKUP($D714,Insumos!$B:$U,D$1,0),"")</f>
        <v>Grs</v>
      </c>
      <c r="F714" s="67">
        <f>650+800</f>
        <v>1450</v>
      </c>
      <c r="G714" s="67">
        <f>IFERROR(VLOOKUP($D714,Insumos!$B:$U,G$1,0)/VLOOKUP($D714,Insumos!$B:$U,F$1,0),"")</f>
        <v>11</v>
      </c>
      <c r="H714" s="67">
        <f t="shared" si="66"/>
        <v>15950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00">
        <v>70.0</v>
      </c>
      <c r="C715" s="100" t="s">
        <v>670</v>
      </c>
      <c r="D715" s="13" t="s">
        <v>458</v>
      </c>
      <c r="E715" s="13" t="str">
        <f>IFERROR(VLOOKUP($D715,Insumos!$B:$U,D$1,0),"")</f>
        <v>Grs</v>
      </c>
      <c r="F715" s="70">
        <v>5.0</v>
      </c>
      <c r="G715" s="70">
        <f>IFERROR(VLOOKUP($D715,Insumos!$B:$U,G$1,0)/VLOOKUP($D715,Insumos!$B:$U,F$1,0),"")</f>
        <v>120</v>
      </c>
      <c r="H715" s="70">
        <f t="shared" si="66"/>
        <v>600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00">
        <v>70.0</v>
      </c>
      <c r="C716" s="100" t="str">
        <f>IF($D716="","",C714)</f>
        <v>buttercream 22 cm </v>
      </c>
      <c r="D716" s="13" t="s">
        <v>656</v>
      </c>
      <c r="E716" s="13" t="str">
        <f>IFERROR(VLOOKUP($D716,Insumos!$B:$U,D$1,0),"")</f>
        <v>Grs</v>
      </c>
      <c r="F716" s="70">
        <v>650.0</v>
      </c>
      <c r="G716" s="70">
        <f>IFERROR(VLOOKUP($D716,Insumos!$B:$U,G$1,0)/VLOOKUP($D716,Insumos!$B:$U,F$1,0),"")</f>
        <v>0.82</v>
      </c>
      <c r="H716" s="70">
        <f t="shared" si="66"/>
        <v>533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00">
        <f t="shared" ref="B717:B719" si="337">IF($D716="","",B716)</f>
        <v>70</v>
      </c>
      <c r="C717" s="100" t="str">
        <f t="shared" ref="C717:C719" si="338">IF($D717="","",C716)</f>
        <v>buttercream 22 cm </v>
      </c>
      <c r="D717" s="13" t="s">
        <v>492</v>
      </c>
      <c r="E717" s="13" t="str">
        <f>IFERROR(VLOOKUP($D717,Insumos!$B:$U,D$1,0),"")</f>
        <v>Unidad</v>
      </c>
      <c r="F717" s="70">
        <v>12.0</v>
      </c>
      <c r="G717" s="70">
        <f>IFERROR(VLOOKUP($D717,Insumos!$B:$U,G$1,0)/VLOOKUP($D717,Insumos!$B:$U,F$1,0),"")</f>
        <v>166.6666667</v>
      </c>
      <c r="H717" s="70">
        <f t="shared" si="66"/>
        <v>2000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00">
        <f t="shared" si="337"/>
        <v>70</v>
      </c>
      <c r="C718" s="100" t="str">
        <f t="shared" si="338"/>
        <v>buttercream 22 cm </v>
      </c>
      <c r="D718" s="13" t="s">
        <v>395</v>
      </c>
      <c r="E718" s="13" t="str">
        <f>IFERROR(VLOOKUP($D718,Insumos!$B:$U,D$1,0),"")</f>
        <v>Grs</v>
      </c>
      <c r="F718" s="70">
        <v>650.0</v>
      </c>
      <c r="G718" s="70">
        <f>IFERROR(VLOOKUP($D718,Insumos!$B:$U,G$1,0)/VLOOKUP($D718,Insumos!$B:$U,F$1,0),"")</f>
        <v>1.4</v>
      </c>
      <c r="H718" s="70">
        <f t="shared" si="66"/>
        <v>910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00">
        <f t="shared" si="337"/>
        <v>70</v>
      </c>
      <c r="C719" s="100" t="str">
        <f t="shared" si="338"/>
        <v>buttercream 22 cm </v>
      </c>
      <c r="D719" s="13" t="s">
        <v>430</v>
      </c>
      <c r="E719" s="13" t="str">
        <f>IFERROR(VLOOKUP($D719,Insumos!$B:$U,D$1,0),"")</f>
        <v>Unidad</v>
      </c>
      <c r="F719" s="70">
        <v>1.0</v>
      </c>
      <c r="G719" s="70">
        <f>IFERROR(VLOOKUP($D719,Insumos!$B:$U,G$1,0)/VLOOKUP($D719,Insumos!$B:$U,F$1,0),"")</f>
        <v>1400</v>
      </c>
      <c r="H719" s="70">
        <f t="shared" si="66"/>
        <v>1400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00">
        <v>70.0</v>
      </c>
      <c r="C720" s="100" t="s">
        <v>670</v>
      </c>
      <c r="D720" s="13" t="s">
        <v>397</v>
      </c>
      <c r="E720" s="13" t="str">
        <f>IFERROR(VLOOKUP($D720,Insumos!$B:$U,D$1,0),"")</f>
        <v>Grs</v>
      </c>
      <c r="F720" s="70">
        <v>1200.0</v>
      </c>
      <c r="G720" s="70">
        <f>IFERROR(VLOOKUP($D720,Insumos!$B:$U,G$1,0)/VLOOKUP($D720,Insumos!$B:$U,F$1,0),"")</f>
        <v>1.5</v>
      </c>
      <c r="H720" s="70">
        <f t="shared" si="66"/>
        <v>1800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00">
        <f>IF($D719="","",B719)</f>
        <v>70</v>
      </c>
      <c r="C721" s="100" t="str">
        <f>IF($D721="","",C719)</f>
        <v>buttercream 22 cm </v>
      </c>
      <c r="D721" s="13" t="s">
        <v>405</v>
      </c>
      <c r="E721" s="13" t="str">
        <f>IFERROR(VLOOKUP($D721,Insumos!$B:$U,D$1,0),"")</f>
        <v>Unidad</v>
      </c>
      <c r="F721" s="70">
        <v>1.0</v>
      </c>
      <c r="G721" s="70">
        <f>IFERROR(VLOOKUP($D721,Insumos!$B:$U,G$1,0)/VLOOKUP($D721,Insumos!$B:$U,F$1,0),"")</f>
        <v>1610</v>
      </c>
      <c r="H721" s="70">
        <f t="shared" si="66"/>
        <v>1610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66">
        <v>71.0</v>
      </c>
      <c r="C722" s="66" t="s">
        <v>671</v>
      </c>
      <c r="D722" s="66" t="s">
        <v>634</v>
      </c>
      <c r="E722" s="66" t="str">
        <f>IFERROR(VLOOKUP($D722,Insumos!$B:$U,D$1,0),"")</f>
        <v>Grs</v>
      </c>
      <c r="F722" s="67">
        <v>500.0</v>
      </c>
      <c r="G722" s="111">
        <f>IFERROR(VLOOKUP($D722,Insumos!$B:$U,G$1,0)/VLOOKUP($D722,Insumos!$B:$U,F$1,0),"")</f>
        <v>0.79</v>
      </c>
      <c r="H722" s="67">
        <f t="shared" si="66"/>
        <v>395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3">
        <v>71.0</v>
      </c>
      <c r="C723" s="13" t="str">
        <f t="shared" ref="C723:C725" si="339">IF($D723="","",C722)</f>
        <v>PAN de campo </v>
      </c>
      <c r="D723" s="13" t="s">
        <v>602</v>
      </c>
      <c r="E723" s="13" t="str">
        <f>IFERROR(VLOOKUP($D723,Insumos!$B:$U,D$1,0),"")</f>
        <v>Grs</v>
      </c>
      <c r="F723" s="70">
        <v>25.0</v>
      </c>
      <c r="G723" s="70">
        <f>IFERROR(VLOOKUP($D723,Insumos!$B:$U,G$1,0)/VLOOKUP($D723,Insumos!$B:$U,F$1,0),"")</f>
        <v>8</v>
      </c>
      <c r="H723" s="70">
        <f t="shared" si="66"/>
        <v>200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3">
        <f t="shared" ref="B724:B725" si="340">IF($D723="","",B723)</f>
        <v>71</v>
      </c>
      <c r="C724" s="13" t="str">
        <f t="shared" si="339"/>
        <v>PAN de campo </v>
      </c>
      <c r="D724" s="13" t="s">
        <v>487</v>
      </c>
      <c r="E724" s="13" t="str">
        <f>IFERROR(VLOOKUP($D724,Insumos!$B:$U,D$1,0),"")</f>
        <v>Grs</v>
      </c>
      <c r="F724" s="70">
        <v>50.0</v>
      </c>
      <c r="G724" s="93">
        <f>IFERROR(VLOOKUP($D724,Insumos!$B:$U,G$1,0)/VLOOKUP($D724,Insumos!$B:$U,F$1,0),"")</f>
        <v>0.41</v>
      </c>
      <c r="H724" s="70">
        <f t="shared" si="66"/>
        <v>20.5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3">
        <f t="shared" si="340"/>
        <v>71</v>
      </c>
      <c r="C725" s="13" t="str">
        <f t="shared" si="339"/>
        <v>PAN de campo </v>
      </c>
      <c r="D725" s="13" t="s">
        <v>472</v>
      </c>
      <c r="E725" s="13" t="str">
        <f>IFERROR(VLOOKUP($D725,Insumos!$B:$U,D$1,0),"")</f>
        <v>Grs</v>
      </c>
      <c r="F725" s="70">
        <v>10.0</v>
      </c>
      <c r="G725" s="70">
        <f>IFERROR(VLOOKUP($D725,Insumos!$B:$U,G$1,0)/VLOOKUP($D725,Insumos!$B:$U,F$1,0),"")</f>
        <v>7</v>
      </c>
      <c r="H725" s="70">
        <f t="shared" si="66"/>
        <v>70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66">
        <v>72.0</v>
      </c>
      <c r="C726" s="66" t="s">
        <v>365</v>
      </c>
      <c r="D726" s="66" t="s">
        <v>492</v>
      </c>
      <c r="E726" s="66" t="str">
        <f>IFERROR(VLOOKUP($D726,Insumos!$B:$U,D$1,0),"")</f>
        <v>Unidad</v>
      </c>
      <c r="F726" s="67">
        <v>4.0</v>
      </c>
      <c r="G726" s="67">
        <f>IFERROR(VLOOKUP($D726,Insumos!$B:$U,G$1,0)/VLOOKUP($D726,Insumos!$B:$U,F$1,0),"")</f>
        <v>166.6666667</v>
      </c>
      <c r="H726" s="67">
        <f t="shared" si="66"/>
        <v>666.6666667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3">
        <v>72.0</v>
      </c>
      <c r="C727" s="13" t="str">
        <f t="shared" ref="C727:C732" si="341">IF($D727="","",C726)</f>
        <v>Carrot Cake 22cm</v>
      </c>
      <c r="D727" s="13" t="s">
        <v>395</v>
      </c>
      <c r="E727" s="13" t="str">
        <f>IFERROR(VLOOKUP($D727,Insumos!$B:$U,D$1,0),"")</f>
        <v>Grs</v>
      </c>
      <c r="F727" s="70">
        <v>160.0</v>
      </c>
      <c r="G727" s="70">
        <f>IFERROR(VLOOKUP($D727,Insumos!$B:$U,G$1,0)/VLOOKUP($D727,Insumos!$B:$U,F$1,0),"")</f>
        <v>1.4</v>
      </c>
      <c r="H727" s="70">
        <f t="shared" si="66"/>
        <v>224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3">
        <f t="shared" ref="B728:B732" si="342">IF($D727="","",B727)</f>
        <v>72</v>
      </c>
      <c r="C728" s="13" t="str">
        <f t="shared" si="341"/>
        <v>Carrot Cake 22cm</v>
      </c>
      <c r="D728" s="13" t="s">
        <v>388</v>
      </c>
      <c r="E728" s="13" t="str">
        <f>IFERROR(VLOOKUP($D728,Insumos!$B:$U,D$1,0),"")</f>
        <v>Cm3</v>
      </c>
      <c r="F728" s="70">
        <v>200.0</v>
      </c>
      <c r="G728" s="70">
        <f>IFERROR(VLOOKUP($D728,Insumos!$B:$U,G$1,0)/VLOOKUP($D728,Insumos!$B:$U,F$1,0),"")</f>
        <v>1.285714286</v>
      </c>
      <c r="H728" s="70">
        <f t="shared" si="66"/>
        <v>257.1428571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3">
        <f t="shared" si="342"/>
        <v>72</v>
      </c>
      <c r="C729" s="13" t="str">
        <f t="shared" si="341"/>
        <v>Carrot Cake 22cm</v>
      </c>
      <c r="D729" s="13" t="s">
        <v>489</v>
      </c>
      <c r="E729" s="13" t="str">
        <f>IFERROR(VLOOKUP($D729,Insumos!$B:$U,D$1,0),"")</f>
        <v>Grs</v>
      </c>
      <c r="F729" s="70">
        <v>250.0</v>
      </c>
      <c r="G729" s="70">
        <f>IFERROR(VLOOKUP($D729,Insumos!$B:$U,G$1,0)/VLOOKUP($D729,Insumos!$B:$U,F$1,0),"")</f>
        <v>0.82</v>
      </c>
      <c r="H729" s="70">
        <f t="shared" si="66"/>
        <v>205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3">
        <f t="shared" si="342"/>
        <v>72</v>
      </c>
      <c r="C730" s="13" t="str">
        <f t="shared" si="341"/>
        <v>Carrot Cake 22cm</v>
      </c>
      <c r="D730" s="13" t="s">
        <v>528</v>
      </c>
      <c r="E730" s="13" t="str">
        <f>IFERROR(VLOOKUP($D730,Insumos!$B:$U,D$1,0),"")</f>
        <v>Grs</v>
      </c>
      <c r="F730" s="70">
        <v>16.0</v>
      </c>
      <c r="G730" s="70">
        <f>IFERROR(VLOOKUP($D730,Insumos!$B:$U,G$1,0)/VLOOKUP($D730,Insumos!$B:$U,F$1,0),"")</f>
        <v>8</v>
      </c>
      <c r="H730" s="70">
        <f t="shared" si="66"/>
        <v>128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3">
        <f t="shared" si="342"/>
        <v>72</v>
      </c>
      <c r="C731" s="13" t="str">
        <f t="shared" si="341"/>
        <v>Carrot Cake 22cm</v>
      </c>
      <c r="D731" s="13" t="s">
        <v>516</v>
      </c>
      <c r="E731" s="13" t="str">
        <f>IFERROR(VLOOKUP($D731,Insumos!$B:$U,D$1,0),"")</f>
        <v>Grs</v>
      </c>
      <c r="F731" s="70">
        <v>100.0</v>
      </c>
      <c r="G731" s="70">
        <f>IFERROR(VLOOKUP($D731,Insumos!$B:$U,G$1,0)/VLOOKUP($D731,Insumos!$B:$U,F$1,0),"")</f>
        <v>19</v>
      </c>
      <c r="H731" s="70">
        <f t="shared" si="66"/>
        <v>1900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3">
        <f t="shared" si="342"/>
        <v>72</v>
      </c>
      <c r="C732" s="13" t="str">
        <f t="shared" si="341"/>
        <v>Carrot Cake 22cm</v>
      </c>
      <c r="D732" s="13" t="s">
        <v>553</v>
      </c>
      <c r="E732" s="13" t="str">
        <f>IFERROR(VLOOKUP($D732,Insumos!$B:$U,D$1,0),"")</f>
        <v>Grs</v>
      </c>
      <c r="F732" s="70">
        <f>60*3</f>
        <v>180</v>
      </c>
      <c r="G732" s="70">
        <f>IFERROR(VLOOKUP($D732,Insumos!$B:$U,G$1,0)/VLOOKUP($D732,Insumos!$B:$U,F$1,0),"")</f>
        <v>1.35</v>
      </c>
      <c r="H732" s="70">
        <f t="shared" si="66"/>
        <v>243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3">
        <f>IF($D731="","",B731)</f>
        <v>72</v>
      </c>
      <c r="C733" s="13" t="str">
        <f>IF($D733="","",C731)</f>
        <v>Carrot Cake 22cm</v>
      </c>
      <c r="D733" s="13" t="s">
        <v>533</v>
      </c>
      <c r="E733" s="13" t="str">
        <f>IFERROR(VLOOKUP($D733,Insumos!$B:$U,D$1,0),"")</f>
        <v>Grs</v>
      </c>
      <c r="F733" s="70">
        <v>250.0</v>
      </c>
      <c r="G733" s="70">
        <f>IFERROR(VLOOKUP($D733,Insumos!$B:$U,G$1,0)/VLOOKUP($D733,Insumos!$B:$U,F$1,0),"")</f>
        <v>7.428571429</v>
      </c>
      <c r="H733" s="70">
        <f t="shared" si="66"/>
        <v>1857.142857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3">
        <f>IF($D733="","",B733)</f>
        <v>72</v>
      </c>
      <c r="C734" s="13" t="str">
        <f>IF($D734="","",C733)</f>
        <v>Carrot Cake 22cm</v>
      </c>
      <c r="D734" s="13" t="s">
        <v>397</v>
      </c>
      <c r="E734" s="13" t="str">
        <f>IFERROR(VLOOKUP($D734,Insumos!$B:$U,D$1,0),"")</f>
        <v>Grs</v>
      </c>
      <c r="F734" s="70">
        <v>50.0</v>
      </c>
      <c r="G734" s="70">
        <f>IFERROR(VLOOKUP($D734,Insumos!$B:$U,G$1,0)/VLOOKUP($D734,Insumos!$B:$U,F$1,0),"")</f>
        <v>1.5</v>
      </c>
      <c r="H734" s="70">
        <f t="shared" si="66"/>
        <v>75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66">
        <v>73.0</v>
      </c>
      <c r="C735" s="66" t="s">
        <v>672</v>
      </c>
      <c r="D735" s="66" t="s">
        <v>489</v>
      </c>
      <c r="E735" s="66" t="str">
        <f>IFERROR(VLOOKUP($D735,Insumos!$B:$U,D$1,0),"")</f>
        <v>Grs</v>
      </c>
      <c r="F735" s="67">
        <v>300.0</v>
      </c>
      <c r="G735" s="67">
        <f>IFERROR(VLOOKUP($D735,Insumos!$B:$U,G$1,0)/VLOOKUP($D735,Insumos!$B:$U,F$1,0),"")</f>
        <v>0.82</v>
      </c>
      <c r="H735" s="67">
        <f t="shared" si="66"/>
        <v>246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3">
        <v>73.0</v>
      </c>
      <c r="C736" s="13" t="str">
        <f t="shared" ref="C736:C742" si="343">IF($D736="","",C735)</f>
        <v>Masas de manga / masas secas</v>
      </c>
      <c r="D736" s="13" t="s">
        <v>568</v>
      </c>
      <c r="E736" s="13" t="str">
        <f>IFERROR(VLOOKUP($D736,Insumos!$B:$U,D$1,0),"")</f>
        <v>Grs</v>
      </c>
      <c r="F736" s="70">
        <v>125.0</v>
      </c>
      <c r="G736" s="70">
        <f>IFERROR(VLOOKUP($D736,Insumos!$B:$U,G$1,0)/VLOOKUP($D736,Insumos!$B:$U,F$1,0),"")</f>
        <v>11</v>
      </c>
      <c r="H736" s="70">
        <f t="shared" si="66"/>
        <v>1375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3">
        <f t="shared" ref="B737:B742" si="344">IF($D736="","",B736)</f>
        <v>73</v>
      </c>
      <c r="C737" s="13" t="str">
        <f t="shared" si="343"/>
        <v>Masas de manga / masas secas</v>
      </c>
      <c r="D737" s="13" t="s">
        <v>395</v>
      </c>
      <c r="E737" s="13" t="str">
        <f>IFERROR(VLOOKUP($D737,Insumos!$B:$U,D$1,0),"")</f>
        <v>Grs</v>
      </c>
      <c r="F737" s="70">
        <v>125.0</v>
      </c>
      <c r="G737" s="70">
        <f>IFERROR(VLOOKUP($D737,Insumos!$B:$U,G$1,0)/VLOOKUP($D737,Insumos!$B:$U,F$1,0),"")</f>
        <v>1.4</v>
      </c>
      <c r="H737" s="70">
        <f t="shared" si="66"/>
        <v>175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3">
        <f t="shared" si="344"/>
        <v>73</v>
      </c>
      <c r="C738" s="13" t="str">
        <f t="shared" si="343"/>
        <v>Masas de manga / masas secas</v>
      </c>
      <c r="D738" s="13" t="s">
        <v>492</v>
      </c>
      <c r="E738" s="13" t="str">
        <f>IFERROR(VLOOKUP($D738,Insumos!$B:$U,D$1,0),"")</f>
        <v>Unidad</v>
      </c>
      <c r="F738" s="70">
        <v>1.0</v>
      </c>
      <c r="G738" s="70">
        <f>IFERROR(VLOOKUP($D738,Insumos!$B:$U,G$1,0)/VLOOKUP($D738,Insumos!$B:$U,F$1,0),"")</f>
        <v>166.6666667</v>
      </c>
      <c r="H738" s="70">
        <f t="shared" si="66"/>
        <v>166.6666667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3">
        <f t="shared" si="344"/>
        <v>73</v>
      </c>
      <c r="C739" s="13" t="str">
        <f t="shared" si="343"/>
        <v>Masas de manga / masas secas</v>
      </c>
      <c r="D739" s="13" t="s">
        <v>468</v>
      </c>
      <c r="E739" s="13" t="str">
        <f>IFERROR(VLOOKUP($D739,Insumos!$B:$U,D$1,0),"")</f>
        <v>Cm3</v>
      </c>
      <c r="F739" s="70">
        <v>5.0</v>
      </c>
      <c r="G739" s="70">
        <f>IFERROR(VLOOKUP($D739,Insumos!$B:$U,G$1,0)/VLOOKUP($D739,Insumos!$B:$U,F$1,0),"")</f>
        <v>1.52</v>
      </c>
      <c r="H739" s="70">
        <f t="shared" si="66"/>
        <v>7.6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3">
        <f t="shared" si="344"/>
        <v>73</v>
      </c>
      <c r="C740" s="13" t="str">
        <f t="shared" si="343"/>
        <v>Masas de manga / masas secas</v>
      </c>
      <c r="D740" s="13" t="s">
        <v>516</v>
      </c>
      <c r="E740" s="13" t="str">
        <f>IFERROR(VLOOKUP($D740,Insumos!$B:$U,D$1,0),"")</f>
        <v>Grs</v>
      </c>
      <c r="F740" s="70">
        <v>50.0</v>
      </c>
      <c r="G740" s="70">
        <f>IFERROR(VLOOKUP($D740,Insumos!$B:$U,G$1,0)/VLOOKUP($D740,Insumos!$B:$U,F$1,0),"")</f>
        <v>19</v>
      </c>
      <c r="H740" s="70">
        <f t="shared" si="66"/>
        <v>950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3">
        <f t="shared" si="344"/>
        <v>73</v>
      </c>
      <c r="C741" s="13" t="str">
        <f t="shared" si="343"/>
        <v>Masas de manga / masas secas</v>
      </c>
      <c r="D741" s="13" t="s">
        <v>391</v>
      </c>
      <c r="E741" s="13" t="str">
        <f>IFERROR(VLOOKUP($D741,Insumos!$B:$U,D$1,0),"")</f>
        <v>Grs</v>
      </c>
      <c r="F741" s="70">
        <v>100.0</v>
      </c>
      <c r="G741" s="70">
        <f>IFERROR(VLOOKUP($D741,Insumos!$B:$U,G$1,0)/VLOOKUP($D741,Insumos!$B:$U,F$1,0),"")</f>
        <v>17</v>
      </c>
      <c r="H741" s="70">
        <f t="shared" si="66"/>
        <v>1700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3">
        <f t="shared" si="344"/>
        <v>73</v>
      </c>
      <c r="C742" s="13" t="str">
        <f t="shared" si="343"/>
        <v>Masas de manga / masas secas</v>
      </c>
      <c r="D742" s="13" t="s">
        <v>454</v>
      </c>
      <c r="E742" s="13" t="str">
        <f>IFERROR(VLOOKUP($D742,Insumos!$B:$U,D$1,0),"")</f>
        <v>Grs</v>
      </c>
      <c r="F742" s="70">
        <v>200.0</v>
      </c>
      <c r="G742" s="70">
        <f>IFERROR(VLOOKUP($D742,Insumos!$B:$U,G$1,0)/VLOOKUP($D742,Insumos!$B:$U,F$1,0),"")</f>
        <v>10</v>
      </c>
      <c r="H742" s="70">
        <f t="shared" si="66"/>
        <v>2000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66">
        <v>74.0</v>
      </c>
      <c r="C743" s="66" t="s">
        <v>673</v>
      </c>
      <c r="D743" s="66" t="s">
        <v>550</v>
      </c>
      <c r="E743" s="66" t="str">
        <f>IFERROR(VLOOKUP($D743,Insumos!$B:$U,D$1,0),"")</f>
        <v>Unidad</v>
      </c>
      <c r="F743" s="67">
        <f>444/3</f>
        <v>148</v>
      </c>
      <c r="G743" s="67">
        <f>IFERROR(VLOOKUP($D743,Insumos!$B:$U,G$1,0)/VLOOKUP($D743,Insumos!$B:$U,F$1,0),"")</f>
        <v>116.6666667</v>
      </c>
      <c r="H743" s="67">
        <f t="shared" si="66"/>
        <v>17266.66667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3">
        <v>74.0</v>
      </c>
      <c r="C744" s="13" t="str">
        <f t="shared" ref="C744:C748" si="345">IF($D744="","",C743)</f>
        <v>Heladitos x 6</v>
      </c>
      <c r="D744" s="13" t="s">
        <v>454</v>
      </c>
      <c r="E744" s="13" t="str">
        <f>IFERROR(VLOOKUP($D744,Insumos!$B:$U,D$1,0),"")</f>
        <v>Grs</v>
      </c>
      <c r="F744" s="70">
        <v>300.0</v>
      </c>
      <c r="G744" s="70">
        <f>IFERROR(VLOOKUP($D744,Insumos!$B:$U,G$1,0)/VLOOKUP($D744,Insumos!$B:$U,F$1,0),"")</f>
        <v>10</v>
      </c>
      <c r="H744" s="70">
        <f t="shared" si="66"/>
        <v>3000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3">
        <f t="shared" ref="B745:B748" si="346">IF($D744="","",B744)</f>
        <v>74</v>
      </c>
      <c r="C745" s="13" t="str">
        <f t="shared" si="345"/>
        <v>Heladitos x 6</v>
      </c>
      <c r="D745" s="13" t="s">
        <v>525</v>
      </c>
      <c r="E745" s="13" t="str">
        <f>IFERROR(VLOOKUP($D745,Insumos!$B:$U,D$1,0),"")</f>
        <v>Grs</v>
      </c>
      <c r="F745" s="70">
        <v>70.0</v>
      </c>
      <c r="G745" s="70">
        <f>IFERROR(VLOOKUP($D745,Insumos!$B:$U,G$1,0)/VLOOKUP($D745,Insumos!$B:$U,F$1,0),"")</f>
        <v>9.6</v>
      </c>
      <c r="H745" s="70">
        <f t="shared" si="66"/>
        <v>672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3">
        <f t="shared" si="346"/>
        <v>74</v>
      </c>
      <c r="C746" s="13" t="str">
        <f t="shared" si="345"/>
        <v>Heladitos x 6</v>
      </c>
      <c r="D746" s="13" t="s">
        <v>466</v>
      </c>
      <c r="E746" s="13" t="str">
        <f>IFERROR(VLOOKUP($D746,Insumos!$B:$U,D$1,0),"")</f>
        <v>Grs</v>
      </c>
      <c r="F746" s="70">
        <v>150.0</v>
      </c>
      <c r="G746" s="70">
        <f>IFERROR(VLOOKUP($D746,Insumos!$B:$U,G$1,0)/VLOOKUP($D746,Insumos!$B:$U,F$1,0),"")</f>
        <v>3.4</v>
      </c>
      <c r="H746" s="70">
        <f t="shared" si="66"/>
        <v>510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3">
        <f t="shared" si="346"/>
        <v>74</v>
      </c>
      <c r="C747" s="13" t="str">
        <f t="shared" si="345"/>
        <v>Heladitos x 6</v>
      </c>
      <c r="D747" s="13" t="s">
        <v>520</v>
      </c>
      <c r="E747" s="13" t="str">
        <f>IFERROR(VLOOKUP($D747,Insumos!$B:$U,D$1,0),"")</f>
        <v>Unidad</v>
      </c>
      <c r="F747" s="70">
        <v>6.0</v>
      </c>
      <c r="G747" s="70">
        <f>IFERROR(VLOOKUP($D747,Insumos!$B:$U,G$1,0)/VLOOKUP($D747,Insumos!$B:$U,F$1,0),"")</f>
        <v>92</v>
      </c>
      <c r="H747" s="70">
        <f t="shared" si="66"/>
        <v>552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3">
        <f t="shared" si="346"/>
        <v>74</v>
      </c>
      <c r="C748" s="13" t="str">
        <f t="shared" si="345"/>
        <v>Heladitos x 6</v>
      </c>
      <c r="D748" s="13" t="s">
        <v>486</v>
      </c>
      <c r="E748" s="13" t="str">
        <f>IFERROR(VLOOKUP($D748,Insumos!$B:$U,D$1,0),"")</f>
        <v>Grs</v>
      </c>
      <c r="F748" s="70">
        <v>100.0</v>
      </c>
      <c r="G748" s="93">
        <f>IFERROR(VLOOKUP($D748,Insumos!$B:$U,G$1,0)/VLOOKUP($D748,Insumos!$B:$U,F$1,0),"")</f>
        <v>7</v>
      </c>
      <c r="H748" s="70">
        <f t="shared" si="66"/>
        <v>700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66">
        <v>75.0</v>
      </c>
      <c r="C749" s="66" t="s">
        <v>674</v>
      </c>
      <c r="D749" s="66" t="s">
        <v>519</v>
      </c>
      <c r="E749" s="66" t="str">
        <f>IFERROR(VLOOKUP($D749,Insumos!$B:$U,D$1,0),"")</f>
        <v>Grs</v>
      </c>
      <c r="F749" s="67">
        <v>117.0</v>
      </c>
      <c r="G749" s="67">
        <f>IFERROR(VLOOKUP($D749,Insumos!$B:$U,G$1,0)/VLOOKUP($D749,Insumos!$B:$U,F$1,0),"")</f>
        <v>14.52991453</v>
      </c>
      <c r="H749" s="67">
        <f t="shared" si="66"/>
        <v>1700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3">
        <v>75.0</v>
      </c>
      <c r="C750" s="13" t="s">
        <v>674</v>
      </c>
      <c r="D750" s="13" t="s">
        <v>388</v>
      </c>
      <c r="E750" s="13" t="str">
        <f>IFERROR(VLOOKUP($D750,Insumos!$B:$U,D$1,0),"")</f>
        <v>Cm3</v>
      </c>
      <c r="F750" s="70">
        <v>120.0</v>
      </c>
      <c r="G750" s="70">
        <f>IFERROR(VLOOKUP($D750,Insumos!$B:$U,G$1,0)/VLOOKUP($D750,Insumos!$B:$U,F$1,0),"")</f>
        <v>1.285714286</v>
      </c>
      <c r="H750" s="70">
        <f t="shared" si="66"/>
        <v>154.2857143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3">
        <f t="shared" ref="B751:B752" si="347">IF($D750="","",B750)</f>
        <v>75</v>
      </c>
      <c r="C751" s="13" t="s">
        <v>674</v>
      </c>
      <c r="D751" s="13" t="s">
        <v>463</v>
      </c>
      <c r="E751" s="13" t="str">
        <f>IFERROR(VLOOKUP($D751,Insumos!$B:$U,D$1,0),"")</f>
        <v>Cm3</v>
      </c>
      <c r="F751" s="70">
        <v>200.0</v>
      </c>
      <c r="G751" s="70">
        <f>IFERROR(VLOOKUP($D751,Insumos!$B:$U,G$1,0)/VLOOKUP($D751,Insumos!$B:$U,F$1,0),"")</f>
        <v>0.1285714286</v>
      </c>
      <c r="H751" s="70">
        <f t="shared" si="66"/>
        <v>25.71428571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3">
        <f t="shared" si="347"/>
        <v>75</v>
      </c>
      <c r="C752" s="13" t="str">
        <f>IF($D752="","",C751)</f>
        <v>mini torta oreo VEGANA</v>
      </c>
      <c r="D752" s="13" t="s">
        <v>467</v>
      </c>
      <c r="E752" s="13" t="str">
        <f>IFERROR(VLOOKUP($D752,Insumos!$B:$U,D$1,0),"")</f>
        <v>Grs</v>
      </c>
      <c r="F752" s="70">
        <v>500.0</v>
      </c>
      <c r="G752" s="70">
        <f>IFERROR(VLOOKUP($D752,Insumos!$B:$U,G$1,0)/VLOOKUP($D752,Insumos!$B:$U,F$1,0),"")</f>
        <v>8.196721311</v>
      </c>
      <c r="H752" s="70">
        <f t="shared" si="66"/>
        <v>4098.360656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66">
        <v>76.0</v>
      </c>
      <c r="C753" s="66" t="s">
        <v>675</v>
      </c>
      <c r="D753" s="66" t="s">
        <v>489</v>
      </c>
      <c r="E753" s="66" t="str">
        <f>IFERROR(VLOOKUP($D753,Insumos!$B:$U,D$1,0),"")</f>
        <v>Grs</v>
      </c>
      <c r="F753" s="67">
        <v>500.0</v>
      </c>
      <c r="G753" s="67">
        <f>IFERROR(VLOOKUP($D753,Insumos!$B:$U,G$1,0)/VLOOKUP($D753,Insumos!$B:$U,F$1,0),"")</f>
        <v>0.82</v>
      </c>
      <c r="H753" s="67">
        <f t="shared" si="66"/>
        <v>410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3">
        <v>76.0</v>
      </c>
      <c r="C754" s="13" t="str">
        <f t="shared" ref="C754:C761" si="348">IF($D754="","",C753)</f>
        <v>muffins decorados con pasta </v>
      </c>
      <c r="D754" s="13" t="s">
        <v>527</v>
      </c>
      <c r="E754" s="13" t="str">
        <f>IFERROR(VLOOKUP($D754,Insumos!$B:$U,D$1,0),"")</f>
        <v>Unidad</v>
      </c>
      <c r="F754" s="70">
        <v>20.0</v>
      </c>
      <c r="G754" s="70">
        <f>IFERROR(VLOOKUP($D754,Insumos!$B:$U,G$1,0)/VLOOKUP($D754,Insumos!$B:$U,F$1,0),"")</f>
        <v>208.3333333</v>
      </c>
      <c r="H754" s="70">
        <f t="shared" si="66"/>
        <v>4166.666667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3">
        <f t="shared" ref="B755:B761" si="349">IF($D754="","",B754)</f>
        <v>76</v>
      </c>
      <c r="C755" s="13" t="str">
        <f t="shared" si="348"/>
        <v>muffins decorados con pasta </v>
      </c>
      <c r="D755" s="13" t="s">
        <v>524</v>
      </c>
      <c r="E755" s="13" t="str">
        <f>IFERROR(VLOOKUP($D755,Insumos!$B:$U,D$1,0),"")</f>
        <v>Grs</v>
      </c>
      <c r="F755" s="70">
        <v>300.0</v>
      </c>
      <c r="G755" s="70">
        <f>IFERROR(VLOOKUP($D755,Insumos!$B:$U,G$1,0)/VLOOKUP($D755,Insumos!$B:$U,F$1,0),"")</f>
        <v>8</v>
      </c>
      <c r="H755" s="70">
        <f t="shared" si="66"/>
        <v>2400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3">
        <f t="shared" si="349"/>
        <v>76</v>
      </c>
      <c r="C756" s="13" t="str">
        <f t="shared" si="348"/>
        <v>muffins decorados con pasta </v>
      </c>
      <c r="D756" s="13" t="s">
        <v>525</v>
      </c>
      <c r="E756" s="13" t="str">
        <f>IFERROR(VLOOKUP($D756,Insumos!$B:$U,D$1,0),"")</f>
        <v>Grs</v>
      </c>
      <c r="F756" s="70">
        <v>150.0</v>
      </c>
      <c r="G756" s="70">
        <f>IFERROR(VLOOKUP($D756,Insumos!$B:$U,G$1,0)/VLOOKUP($D756,Insumos!$B:$U,F$1,0),"")</f>
        <v>9.6</v>
      </c>
      <c r="H756" s="70">
        <f t="shared" si="66"/>
        <v>1440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3">
        <f t="shared" si="349"/>
        <v>76</v>
      </c>
      <c r="C757" s="13" t="str">
        <f t="shared" si="348"/>
        <v>muffins decorados con pasta </v>
      </c>
      <c r="D757" s="13" t="s">
        <v>395</v>
      </c>
      <c r="E757" s="13" t="str">
        <f>IFERROR(VLOOKUP($D757,Insumos!$B:$U,D$1,0),"")</f>
        <v>Grs</v>
      </c>
      <c r="F757" s="70">
        <v>225.0</v>
      </c>
      <c r="G757" s="70">
        <f>IFERROR(VLOOKUP($D757,Insumos!$B:$U,G$1,0)/VLOOKUP($D757,Insumos!$B:$U,F$1,0),"")</f>
        <v>1.4</v>
      </c>
      <c r="H757" s="70">
        <f t="shared" si="66"/>
        <v>315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3">
        <f t="shared" si="349"/>
        <v>76</v>
      </c>
      <c r="C758" s="13" t="str">
        <f t="shared" si="348"/>
        <v>muffins decorados con pasta </v>
      </c>
      <c r="D758" s="13" t="s">
        <v>505</v>
      </c>
      <c r="E758" s="13" t="str">
        <f>IFERROR(VLOOKUP($D758,Insumos!$B:$U,D$1,0),"")</f>
        <v>Grs</v>
      </c>
      <c r="F758" s="70">
        <v>500.0</v>
      </c>
      <c r="G758" s="70">
        <f>IFERROR(VLOOKUP($D758,Insumos!$B:$U,G$1,0)/VLOOKUP($D758,Insumos!$B:$U,F$1,0),"")</f>
        <v>11</v>
      </c>
      <c r="H758" s="70">
        <f t="shared" si="66"/>
        <v>5500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3">
        <f t="shared" si="349"/>
        <v>76</v>
      </c>
      <c r="C759" s="13" t="str">
        <f t="shared" si="348"/>
        <v>muffins decorados con pasta </v>
      </c>
      <c r="D759" s="13" t="s">
        <v>492</v>
      </c>
      <c r="E759" s="13" t="str">
        <f>IFERROR(VLOOKUP($D759,Insumos!$B:$U,D$1,0),"")</f>
        <v>Unidad</v>
      </c>
      <c r="F759" s="70">
        <v>4.0</v>
      </c>
      <c r="G759" s="70">
        <f>IFERROR(VLOOKUP($D759,Insumos!$B:$U,G$1,0)/VLOOKUP($D759,Insumos!$B:$U,F$1,0),"")</f>
        <v>166.6666667</v>
      </c>
      <c r="H759" s="70">
        <f t="shared" si="66"/>
        <v>666.6666667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3">
        <f t="shared" si="349"/>
        <v>76</v>
      </c>
      <c r="C760" s="13" t="str">
        <f t="shared" si="348"/>
        <v>muffins decorados con pasta </v>
      </c>
      <c r="D760" s="13" t="s">
        <v>528</v>
      </c>
      <c r="E760" s="13" t="str">
        <f>IFERROR(VLOOKUP($D760,Insumos!$B:$U,D$1,0),"")</f>
        <v>Grs</v>
      </c>
      <c r="F760" s="70">
        <v>10.0</v>
      </c>
      <c r="G760" s="70">
        <f>IFERROR(VLOOKUP($D760,Insumos!$B:$U,G$1,0)/VLOOKUP($D760,Insumos!$B:$U,F$1,0),"")</f>
        <v>8</v>
      </c>
      <c r="H760" s="70">
        <f t="shared" si="66"/>
        <v>80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3">
        <f t="shared" si="349"/>
        <v>76</v>
      </c>
      <c r="C761" s="13" t="str">
        <f t="shared" si="348"/>
        <v>muffins decorados con pasta </v>
      </c>
      <c r="D761" s="13" t="s">
        <v>468</v>
      </c>
      <c r="E761" s="13" t="str">
        <f>IFERROR(VLOOKUP($D761,Insumos!$B:$U,D$1,0),"")</f>
        <v>Cm3</v>
      </c>
      <c r="F761" s="70">
        <v>10.0</v>
      </c>
      <c r="G761" s="70">
        <f>IFERROR(VLOOKUP($D761,Insumos!$B:$U,G$1,0)/VLOOKUP($D761,Insumos!$B:$U,F$1,0),"")</f>
        <v>1.52</v>
      </c>
      <c r="H761" s="70">
        <f t="shared" si="66"/>
        <v>15.2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66">
        <v>77.0</v>
      </c>
      <c r="C762" s="66" t="s">
        <v>676</v>
      </c>
      <c r="D762" s="66" t="s">
        <v>505</v>
      </c>
      <c r="E762" s="66" t="str">
        <f>IFERROR(VLOOKUP($D762,Insumos!$B:$U,D$1,0),"")</f>
        <v>Grs</v>
      </c>
      <c r="F762" s="67">
        <v>125.0</v>
      </c>
      <c r="G762" s="67">
        <f>IFERROR(VLOOKUP($D762,Insumos!$B:$U,G$1,0)/VLOOKUP($D762,Insumos!$B:$U,F$1,0),"")</f>
        <v>11</v>
      </c>
      <c r="H762" s="67">
        <f t="shared" si="66"/>
        <v>1375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3">
        <v>77.0</v>
      </c>
      <c r="C763" s="13" t="str">
        <f t="shared" ref="C763:C768" si="350">IF($D763="","",C762)</f>
        <v>cookies chips de chocolate  12</v>
      </c>
      <c r="D763" s="13" t="s">
        <v>395</v>
      </c>
      <c r="E763" s="13" t="str">
        <f>IFERROR(VLOOKUP($D763,Insumos!$B:$U,D$1,0),"")</f>
        <v>Grs</v>
      </c>
      <c r="F763" s="70">
        <v>125.0</v>
      </c>
      <c r="G763" s="70">
        <f>IFERROR(VLOOKUP($D763,Insumos!$B:$U,G$1,0)/VLOOKUP($D763,Insumos!$B:$U,F$1,0),"")</f>
        <v>1.4</v>
      </c>
      <c r="H763" s="70">
        <f t="shared" si="66"/>
        <v>175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3">
        <f t="shared" ref="B764:B768" si="351">IF($D763="","",B763)</f>
        <v>77</v>
      </c>
      <c r="C764" s="13" t="str">
        <f t="shared" si="350"/>
        <v>cookies chips de chocolate  12</v>
      </c>
      <c r="D764" s="13" t="s">
        <v>492</v>
      </c>
      <c r="E764" s="13" t="str">
        <f>IFERROR(VLOOKUP($D764,Insumos!$B:$U,D$1,0),"")</f>
        <v>Unidad</v>
      </c>
      <c r="F764" s="70">
        <v>1.0</v>
      </c>
      <c r="G764" s="70">
        <f>IFERROR(VLOOKUP($D764,Insumos!$B:$U,G$1,0)/VLOOKUP($D764,Insumos!$B:$U,F$1,0),"")</f>
        <v>166.6666667</v>
      </c>
      <c r="H764" s="70">
        <f t="shared" si="66"/>
        <v>166.6666667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3">
        <f t="shared" si="351"/>
        <v>77</v>
      </c>
      <c r="C765" s="13" t="str">
        <f t="shared" si="350"/>
        <v>cookies chips de chocolate  12</v>
      </c>
      <c r="D765" s="13" t="s">
        <v>656</v>
      </c>
      <c r="E765" s="13" t="str">
        <f>IFERROR(VLOOKUP($D765,Insumos!$B:$U,D$1,0),"")</f>
        <v>Grs</v>
      </c>
      <c r="F765" s="70">
        <v>250.0</v>
      </c>
      <c r="G765" s="70">
        <f>IFERROR(VLOOKUP($D765,Insumos!$B:$U,G$1,0)/VLOOKUP($D765,Insumos!$B:$U,F$1,0),"")</f>
        <v>0.82</v>
      </c>
      <c r="H765" s="70">
        <f t="shared" si="66"/>
        <v>205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3">
        <f t="shared" si="351"/>
        <v>77</v>
      </c>
      <c r="C766" s="13" t="str">
        <f t="shared" si="350"/>
        <v>cookies chips de chocolate  12</v>
      </c>
      <c r="D766" s="13" t="s">
        <v>528</v>
      </c>
      <c r="E766" s="13" t="str">
        <f>IFERROR(VLOOKUP($D766,Insumos!$B:$U,D$1,0),"")</f>
        <v>Grs</v>
      </c>
      <c r="F766" s="70">
        <v>5.0</v>
      </c>
      <c r="G766" s="70">
        <f>IFERROR(VLOOKUP($D766,Insumos!$B:$U,G$1,0)/VLOOKUP($D766,Insumos!$B:$U,F$1,0),"")</f>
        <v>8</v>
      </c>
      <c r="H766" s="70">
        <f t="shared" si="66"/>
        <v>40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3">
        <f t="shared" si="351"/>
        <v>77</v>
      </c>
      <c r="C767" s="13" t="str">
        <f t="shared" si="350"/>
        <v>cookies chips de chocolate  12</v>
      </c>
      <c r="D767" s="13" t="s">
        <v>468</v>
      </c>
      <c r="E767" s="13" t="str">
        <f>IFERROR(VLOOKUP($D767,Insumos!$B:$U,D$1,0),"")</f>
        <v>Cm3</v>
      </c>
      <c r="F767" s="70">
        <v>5.0</v>
      </c>
      <c r="G767" s="70">
        <f>IFERROR(VLOOKUP($D767,Insumos!$B:$U,G$1,0)/VLOOKUP($D767,Insumos!$B:$U,F$1,0),"")</f>
        <v>1.52</v>
      </c>
      <c r="H767" s="70">
        <f t="shared" si="66"/>
        <v>7.6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3">
        <f t="shared" si="351"/>
        <v>77</v>
      </c>
      <c r="C768" s="13" t="str">
        <f t="shared" si="350"/>
        <v>cookies chips de chocolate  12</v>
      </c>
      <c r="D768" s="13" t="s">
        <v>452</v>
      </c>
      <c r="E768" s="13" t="str">
        <f>IFERROR(VLOOKUP($D768,Insumos!$B:$U,D$1,0),"")</f>
        <v>Grs</v>
      </c>
      <c r="F768" s="70">
        <v>40.0</v>
      </c>
      <c r="G768" s="70">
        <f>IFERROR(VLOOKUP($D768,Insumos!$B:$U,G$1,0)/VLOOKUP($D768,Insumos!$B:$U,F$1,0),"")</f>
        <v>9</v>
      </c>
      <c r="H768" s="70">
        <f t="shared" si="66"/>
        <v>360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66">
        <v>78.0</v>
      </c>
      <c r="C769" s="66" t="s">
        <v>677</v>
      </c>
      <c r="D769" s="66" t="s">
        <v>550</v>
      </c>
      <c r="E769" s="66" t="str">
        <f>IFERROR(VLOOKUP($D769,Insumos!$B:$U,D$1,0),"")</f>
        <v>Unidad</v>
      </c>
      <c r="F769" s="67">
        <f>444/3/2</f>
        <v>74</v>
      </c>
      <c r="G769" s="67">
        <f>IFERROR(VLOOKUP($D769,Insumos!$B:$U,G$1,0)/VLOOKUP($D769,Insumos!$B:$U,F$1,0),"")</f>
        <v>116.6666667</v>
      </c>
      <c r="H769" s="67">
        <f t="shared" si="66"/>
        <v>8633.333333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3">
        <v>78.0</v>
      </c>
      <c r="C770" s="13" t="str">
        <f t="shared" ref="C770:C797" si="352">IF($D770="","",C769)</f>
        <v>DESAYUNO MINI TORTA </v>
      </c>
      <c r="D770" s="13" t="s">
        <v>454</v>
      </c>
      <c r="E770" s="13" t="str">
        <f>IFERROR(VLOOKUP($D770,Insumos!$B:$U,D$1,0),"")</f>
        <v>Grs</v>
      </c>
      <c r="F770" s="70">
        <v>150.0</v>
      </c>
      <c r="G770" s="70">
        <f>IFERROR(VLOOKUP($D770,Insumos!$B:$U,G$1,0)/VLOOKUP($D770,Insumos!$B:$U,F$1,0),"")</f>
        <v>10</v>
      </c>
      <c r="H770" s="70">
        <f t="shared" si="66"/>
        <v>1500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3">
        <f t="shared" ref="B771:B797" si="353">IF($D770="","",B770)</f>
        <v>78</v>
      </c>
      <c r="C771" s="13" t="str">
        <f t="shared" si="352"/>
        <v>DESAYUNO MINI TORTA </v>
      </c>
      <c r="D771" s="13" t="s">
        <v>525</v>
      </c>
      <c r="E771" s="13" t="str">
        <f>IFERROR(VLOOKUP($D771,Insumos!$B:$U,D$1,0),"")</f>
        <v>Grs</v>
      </c>
      <c r="F771" s="70">
        <v>70.0</v>
      </c>
      <c r="G771" s="70">
        <f>IFERROR(VLOOKUP($D771,Insumos!$B:$U,G$1,0)/VLOOKUP($D771,Insumos!$B:$U,F$1,0),"")</f>
        <v>9.6</v>
      </c>
      <c r="H771" s="70">
        <f t="shared" si="66"/>
        <v>672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3">
        <f t="shared" si="353"/>
        <v>78</v>
      </c>
      <c r="C772" s="13" t="str">
        <f t="shared" si="352"/>
        <v>DESAYUNO MINI TORTA </v>
      </c>
      <c r="D772" s="13" t="s">
        <v>466</v>
      </c>
      <c r="E772" s="13" t="str">
        <f>IFERROR(VLOOKUP($D772,Insumos!$B:$U,D$1,0),"")</f>
        <v>Grs</v>
      </c>
      <c r="F772" s="70">
        <v>150.0</v>
      </c>
      <c r="G772" s="70">
        <f>IFERROR(VLOOKUP($D772,Insumos!$B:$U,G$1,0)/VLOOKUP($D772,Insumos!$B:$U,F$1,0),"")</f>
        <v>3.4</v>
      </c>
      <c r="H772" s="70">
        <f t="shared" si="66"/>
        <v>510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3">
        <f t="shared" si="353"/>
        <v>78</v>
      </c>
      <c r="C773" s="13" t="str">
        <f t="shared" si="352"/>
        <v>DESAYUNO MINI TORTA </v>
      </c>
      <c r="D773" s="13" t="s">
        <v>520</v>
      </c>
      <c r="E773" s="13" t="str">
        <f>IFERROR(VLOOKUP($D773,Insumos!$B:$U,D$1,0),"")</f>
        <v>Unidad</v>
      </c>
      <c r="F773" s="70">
        <v>6.0</v>
      </c>
      <c r="G773" s="70">
        <f>IFERROR(VLOOKUP($D773,Insumos!$B:$U,G$1,0)/VLOOKUP($D773,Insumos!$B:$U,F$1,0),"")</f>
        <v>92</v>
      </c>
      <c r="H773" s="70">
        <f t="shared" si="66"/>
        <v>552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3">
        <f t="shared" si="353"/>
        <v>78</v>
      </c>
      <c r="C774" s="13" t="str">
        <f t="shared" si="352"/>
        <v>DESAYUNO MINI TORTA </v>
      </c>
      <c r="D774" s="13" t="s">
        <v>486</v>
      </c>
      <c r="E774" s="13" t="str">
        <f>IFERROR(VLOOKUP($D774,Insumos!$B:$U,D$1,0),"")</f>
        <v>Grs</v>
      </c>
      <c r="F774" s="70">
        <v>50.0</v>
      </c>
      <c r="G774" s="93">
        <f>IFERROR(VLOOKUP($D774,Insumos!$B:$U,G$1,0)/VLOOKUP($D774,Insumos!$B:$U,F$1,0),"")</f>
        <v>7</v>
      </c>
      <c r="H774" s="70">
        <f t="shared" si="66"/>
        <v>350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3">
        <f t="shared" si="353"/>
        <v>78</v>
      </c>
      <c r="C775" s="13" t="str">
        <f t="shared" si="352"/>
        <v>DESAYUNO MINI TORTA </v>
      </c>
      <c r="D775" s="13" t="s">
        <v>505</v>
      </c>
      <c r="E775" s="13" t="str">
        <f>IFERROR(VLOOKUP($D775,Insumos!$B:$U,D$1,0),"")</f>
        <v>Grs</v>
      </c>
      <c r="F775" s="70">
        <f>50/2</f>
        <v>25</v>
      </c>
      <c r="G775" s="70">
        <f>IFERROR(VLOOKUP($D775,Insumos!$B:$U,G$1,0)/VLOOKUP($D775,Insumos!$B:$U,F$1,0),"")</f>
        <v>11</v>
      </c>
      <c r="H775" s="70">
        <f t="shared" si="66"/>
        <v>275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3">
        <f t="shared" si="353"/>
        <v>78</v>
      </c>
      <c r="C776" s="13" t="str">
        <f t="shared" si="352"/>
        <v>DESAYUNO MINI TORTA </v>
      </c>
      <c r="D776" s="13" t="s">
        <v>397</v>
      </c>
      <c r="E776" s="13" t="str">
        <f>IFERROR(VLOOKUP($D776,Insumos!$B:$U,D$1,0),"")</f>
        <v>Grs</v>
      </c>
      <c r="F776" s="70">
        <v>25.0</v>
      </c>
      <c r="G776" s="70">
        <f>IFERROR(VLOOKUP($D776,Insumos!$B:$U,G$1,0)/VLOOKUP($D776,Insumos!$B:$U,F$1,0),"")</f>
        <v>1.5</v>
      </c>
      <c r="H776" s="70">
        <f t="shared" si="66"/>
        <v>37.5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3">
        <f t="shared" si="353"/>
        <v>78</v>
      </c>
      <c r="C777" s="13" t="str">
        <f t="shared" si="352"/>
        <v>DESAYUNO MINI TORTA </v>
      </c>
      <c r="D777" s="13" t="s">
        <v>569</v>
      </c>
      <c r="E777" s="13" t="str">
        <f>IFERROR(VLOOKUP($D777,Insumos!$B:$U,D$1,0),"")</f>
        <v>Unidad</v>
      </c>
      <c r="F777" s="70">
        <v>2.0</v>
      </c>
      <c r="G777" s="70">
        <f>IFERROR(VLOOKUP($D777,Insumos!$B:$U,G$1,0)/VLOOKUP($D777,Insumos!$B:$U,F$1,0),"")</f>
        <v>166.6666667</v>
      </c>
      <c r="H777" s="70">
        <f t="shared" si="66"/>
        <v>333.3333333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3">
        <f t="shared" si="353"/>
        <v>78</v>
      </c>
      <c r="C778" s="13" t="str">
        <f t="shared" si="352"/>
        <v>DESAYUNO MINI TORTA </v>
      </c>
      <c r="D778" s="13" t="s">
        <v>408</v>
      </c>
      <c r="E778" s="13" t="str">
        <f>IFERROR(VLOOKUP($D778,Insumos!$B:$U,D$1,0),"")</f>
        <v>Grs</v>
      </c>
      <c r="F778" s="70">
        <v>1.0</v>
      </c>
      <c r="G778" s="70">
        <f>IFERROR(VLOOKUP($D778,Insumos!$B:$U,G$1,0)/VLOOKUP($D778,Insumos!$B:$U,F$1,0),"")</f>
        <v>16.64</v>
      </c>
      <c r="H778" s="70">
        <f t="shared" si="66"/>
        <v>16.64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3">
        <f t="shared" si="353"/>
        <v>78</v>
      </c>
      <c r="C779" s="13" t="str">
        <f t="shared" si="352"/>
        <v>DESAYUNO MINI TORTA </v>
      </c>
      <c r="D779" s="13" t="s">
        <v>501</v>
      </c>
      <c r="E779" s="13" t="str">
        <f>IFERROR(VLOOKUP($D779,Insumos!$B:$U,D$1,0),"")</f>
        <v>Grs</v>
      </c>
      <c r="F779" s="70">
        <v>75.0</v>
      </c>
      <c r="G779" s="70">
        <f>IFERROR(VLOOKUP($D779,Insumos!$B:$U,G$1,0)/VLOOKUP($D779,Insumos!$B:$U,F$1,0),"")</f>
        <v>2.8</v>
      </c>
      <c r="H779" s="70">
        <f t="shared" si="66"/>
        <v>210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3">
        <f t="shared" si="353"/>
        <v>78</v>
      </c>
      <c r="C780" s="13" t="str">
        <f t="shared" si="352"/>
        <v>DESAYUNO MINI TORTA </v>
      </c>
      <c r="D780" s="13" t="s">
        <v>586</v>
      </c>
      <c r="E780" s="13" t="str">
        <f>IFERROR(VLOOKUP($D780,Insumos!$B:$U,D$1,0),"")</f>
        <v>Grs</v>
      </c>
      <c r="F780" s="70">
        <v>25.0</v>
      </c>
      <c r="G780" s="70">
        <f>IFERROR(VLOOKUP($D780,Insumos!$B:$U,G$1,0)/VLOOKUP($D780,Insumos!$B:$U,F$1,0),"")</f>
        <v>1.5</v>
      </c>
      <c r="H780" s="70">
        <f t="shared" si="66"/>
        <v>37.5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3">
        <f t="shared" si="353"/>
        <v>78</v>
      </c>
      <c r="C781" s="13" t="str">
        <f t="shared" si="352"/>
        <v>DESAYUNO MINI TORTA </v>
      </c>
      <c r="D781" s="13" t="s">
        <v>500</v>
      </c>
      <c r="E781" s="13" t="str">
        <f>IFERROR(VLOOKUP($D781,Insumos!$B:$U,D$1,0),"")</f>
        <v>Unidad</v>
      </c>
      <c r="F781" s="70">
        <v>0.5</v>
      </c>
      <c r="G781" s="70">
        <f>IFERROR(VLOOKUP($D781,Insumos!$B:$U,G$1,0)/VLOOKUP($D781,Insumos!$B:$U,F$1,0),"")</f>
        <v>180</v>
      </c>
      <c r="H781" s="70">
        <f t="shared" si="66"/>
        <v>90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3">
        <f t="shared" si="353"/>
        <v>78</v>
      </c>
      <c r="C782" s="13" t="str">
        <f t="shared" si="352"/>
        <v>DESAYUNO MINI TORTA </v>
      </c>
      <c r="D782" s="13" t="s">
        <v>457</v>
      </c>
      <c r="E782" s="13" t="s">
        <v>392</v>
      </c>
      <c r="F782" s="70">
        <v>25.0</v>
      </c>
      <c r="G782" s="70">
        <f>IFERROR(VLOOKUP($D782,Insumos!$B:$U,G$1,0)/VLOOKUP($D782,Insumos!$B:$U,F$1,0),"")</f>
        <v>10.5</v>
      </c>
      <c r="H782" s="70">
        <f t="shared" si="66"/>
        <v>262.5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3">
        <f t="shared" si="353"/>
        <v>78</v>
      </c>
      <c r="C783" s="13" t="str">
        <f t="shared" si="352"/>
        <v>DESAYUNO MINI TORTA </v>
      </c>
      <c r="D783" s="13" t="s">
        <v>466</v>
      </c>
      <c r="E783" s="13" t="str">
        <f>IFERROR(VLOOKUP($D783,Insumos!$B:$U,D$1,0),"")</f>
        <v>Grs</v>
      </c>
      <c r="F783" s="70">
        <v>100.0</v>
      </c>
      <c r="G783" s="70">
        <f>IFERROR(VLOOKUP($D783,Insumos!$B:$U,G$1,0)/VLOOKUP($D783,Insumos!$B:$U,F$1,0),"")</f>
        <v>3.4</v>
      </c>
      <c r="H783" s="70">
        <f t="shared" si="66"/>
        <v>340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3">
        <f t="shared" si="353"/>
        <v>78</v>
      </c>
      <c r="C784" s="13" t="str">
        <f t="shared" si="352"/>
        <v>DESAYUNO MINI TORTA </v>
      </c>
      <c r="D784" s="13" t="s">
        <v>505</v>
      </c>
      <c r="E784" s="13" t="str">
        <f>IFERROR(VLOOKUP($D784,Insumos!$B:$U,D$1,0),"")</f>
        <v>Grs</v>
      </c>
      <c r="F784" s="70">
        <v>35.0</v>
      </c>
      <c r="G784" s="70">
        <f>IFERROR(VLOOKUP($D784,Insumos!$B:$U,G$1,0)/VLOOKUP($D784,Insumos!$B:$U,F$1,0),"")</f>
        <v>11</v>
      </c>
      <c r="H784" s="70">
        <f t="shared" si="66"/>
        <v>385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3">
        <f t="shared" si="353"/>
        <v>78</v>
      </c>
      <c r="C785" s="13" t="str">
        <f t="shared" si="352"/>
        <v>DESAYUNO MINI TORTA </v>
      </c>
      <c r="D785" s="13" t="s">
        <v>492</v>
      </c>
      <c r="E785" s="13" t="str">
        <f>IFERROR(VLOOKUP($D785,Insumos!$B:$U,D$1,0),"")</f>
        <v>Unidad</v>
      </c>
      <c r="F785" s="70">
        <v>1.0</v>
      </c>
      <c r="G785" s="70">
        <f>IFERROR(VLOOKUP($D785,Insumos!$B:$U,G$1,0)/VLOOKUP($D785,Insumos!$B:$U,F$1,0),"")</f>
        <v>166.6666667</v>
      </c>
      <c r="H785" s="70">
        <f t="shared" si="66"/>
        <v>166.6666667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3">
        <f t="shared" si="353"/>
        <v>78</v>
      </c>
      <c r="C786" s="13" t="str">
        <f t="shared" si="352"/>
        <v>DESAYUNO MINI TORTA </v>
      </c>
      <c r="D786" s="13" t="s">
        <v>496</v>
      </c>
      <c r="E786" s="13" t="str">
        <f>IFERROR(VLOOKUP($D786,Insumos!$B:$U,D$1,0),"")</f>
        <v>Cm3</v>
      </c>
      <c r="F786" s="70">
        <v>25.0</v>
      </c>
      <c r="G786" s="70">
        <f>IFERROR(VLOOKUP($D786,Insumos!$B:$U,G$1,0)/VLOOKUP($D786,Insumos!$B:$U,F$1,0),"")</f>
        <v>2.1</v>
      </c>
      <c r="H786" s="70">
        <f t="shared" si="66"/>
        <v>52.5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3">
        <f t="shared" si="353"/>
        <v>78</v>
      </c>
      <c r="C787" s="13" t="str">
        <f t="shared" si="352"/>
        <v>DESAYUNO MINI TORTA </v>
      </c>
      <c r="D787" s="13" t="s">
        <v>600</v>
      </c>
      <c r="E787" s="13" t="str">
        <f>IFERROR(VLOOKUP($D787,Insumos!$B:$U,D$1,0),"")</f>
        <v>Grs</v>
      </c>
      <c r="F787" s="70">
        <v>62.5</v>
      </c>
      <c r="G787" s="70">
        <f>IFERROR(VLOOKUP($D787,Insumos!$B:$U,G$1,0)/VLOOKUP($D787,Insumos!$B:$U,F$1,0),"")</f>
        <v>18</v>
      </c>
      <c r="H787" s="70">
        <f t="shared" si="66"/>
        <v>1125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3">
        <f t="shared" si="353"/>
        <v>78</v>
      </c>
      <c r="C788" s="13" t="str">
        <f t="shared" si="352"/>
        <v>DESAYUNO MINI TORTA </v>
      </c>
      <c r="D788" s="13" t="s">
        <v>473</v>
      </c>
      <c r="E788" s="13" t="str">
        <f>IFERROR(VLOOKUP($D788,Insumos!$B:$U,D$1,0),"")</f>
        <v>Grs</v>
      </c>
      <c r="F788" s="70">
        <v>112.5</v>
      </c>
      <c r="G788" s="70">
        <f>IFERROR(VLOOKUP($D788,Insumos!$B:$U,G$1,0)/VLOOKUP($D788,Insumos!$B:$U,F$1,0),"")</f>
        <v>3.5</v>
      </c>
      <c r="H788" s="70">
        <f t="shared" si="66"/>
        <v>393.75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3">
        <f t="shared" si="353"/>
        <v>78</v>
      </c>
      <c r="C789" s="13" t="str">
        <f t="shared" si="352"/>
        <v>DESAYUNO MINI TORTA </v>
      </c>
      <c r="D789" s="13" t="s">
        <v>399</v>
      </c>
      <c r="E789" s="13" t="str">
        <f>IFERROR(VLOOKUP($D789,Insumos!$B:$U,D$1,0),"")</f>
        <v>Unidad</v>
      </c>
      <c r="F789" s="70">
        <v>1.0</v>
      </c>
      <c r="G789" s="70">
        <f>IFERROR(VLOOKUP($D789,Insumos!$B:$U,G$1,0)/VLOOKUP($D789,Insumos!$B:$U,F$1,0),"")</f>
        <v>700</v>
      </c>
      <c r="H789" s="70">
        <f t="shared" si="66"/>
        <v>700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3">
        <f t="shared" si="353"/>
        <v>78</v>
      </c>
      <c r="C790" s="13" t="str">
        <f t="shared" si="352"/>
        <v>DESAYUNO MINI TORTA </v>
      </c>
      <c r="D790" s="13" t="s">
        <v>453</v>
      </c>
      <c r="E790" s="13" t="str">
        <f>IFERROR(VLOOKUP($D790,Insumos!$B:$U,D$1,0),"")</f>
        <v>Unidad</v>
      </c>
      <c r="F790" s="70">
        <v>1.0</v>
      </c>
      <c r="G790" s="70">
        <f>IFERROR(VLOOKUP($D790,Insumos!$B:$U,G$1,0)/VLOOKUP($D790,Insumos!$B:$U,F$1,0),"")</f>
        <v>1900</v>
      </c>
      <c r="H790" s="70">
        <f t="shared" si="66"/>
        <v>1900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3">
        <f t="shared" si="353"/>
        <v>78</v>
      </c>
      <c r="C791" s="13" t="str">
        <f t="shared" si="352"/>
        <v>DESAYUNO MINI TORTA </v>
      </c>
      <c r="D791" s="13" t="s">
        <v>427</v>
      </c>
      <c r="E791" s="13" t="str">
        <f>IFERROR(VLOOKUP($D791,Insumos!$B:$U,D$1,0),"")</f>
        <v>Unidad</v>
      </c>
      <c r="F791" s="70">
        <v>1.0</v>
      </c>
      <c r="G791" s="70">
        <f>IFERROR(VLOOKUP($D791,Insumos!$B:$U,G$1,0)/VLOOKUP($D791,Insumos!$B:$U,F$1,0),"")</f>
        <v>358</v>
      </c>
      <c r="H791" s="70">
        <f t="shared" si="66"/>
        <v>358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3">
        <f t="shared" si="353"/>
        <v>78</v>
      </c>
      <c r="C792" s="13" t="str">
        <f t="shared" si="352"/>
        <v>DESAYUNO MINI TORTA </v>
      </c>
      <c r="D792" s="13" t="s">
        <v>505</v>
      </c>
      <c r="E792" s="13" t="str">
        <f>IFERROR(VLOOKUP($D792,Insumos!$B:$U,D$1,0),"")</f>
        <v>Grs</v>
      </c>
      <c r="F792" s="70">
        <f>238+400</f>
        <v>638</v>
      </c>
      <c r="G792" s="70">
        <f>IFERROR(VLOOKUP($D792,Insumos!$B:$U,G$1,0)/VLOOKUP($D792,Insumos!$B:$U,F$1,0),"")</f>
        <v>11</v>
      </c>
      <c r="H792" s="70">
        <f t="shared" si="66"/>
        <v>7018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3">
        <f t="shared" si="353"/>
        <v>78</v>
      </c>
      <c r="C793" s="13" t="str">
        <f t="shared" si="352"/>
        <v>DESAYUNO MINI TORTA </v>
      </c>
      <c r="D793" s="13" t="s">
        <v>492</v>
      </c>
      <c r="E793" s="13" t="str">
        <f>IFERROR(VLOOKUP($D793,Insumos!$B:$U,D$1,0),"")</f>
        <v>Unidad</v>
      </c>
      <c r="F793" s="70">
        <v>4.0</v>
      </c>
      <c r="G793" s="70">
        <f>IFERROR(VLOOKUP($D793,Insumos!$B:$U,G$1,0)/VLOOKUP($D793,Insumos!$B:$U,F$1,0),"")</f>
        <v>166.6666667</v>
      </c>
      <c r="H793" s="70">
        <f t="shared" si="66"/>
        <v>666.6666667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3">
        <f t="shared" si="353"/>
        <v>78</v>
      </c>
      <c r="C794" s="13" t="str">
        <f t="shared" si="352"/>
        <v>DESAYUNO MINI TORTA </v>
      </c>
      <c r="D794" s="13" t="s">
        <v>395</v>
      </c>
      <c r="E794" s="13" t="str">
        <f>IFERROR(VLOOKUP($D794,Insumos!$B:$U,D$1,0),"")</f>
        <v>Grs</v>
      </c>
      <c r="F794" s="70">
        <v>238.0</v>
      </c>
      <c r="G794" s="70">
        <f>IFERROR(VLOOKUP($D794,Insumos!$B:$U,G$1,0)/VLOOKUP($D794,Insumos!$B:$U,F$1,0),"")</f>
        <v>1.4</v>
      </c>
      <c r="H794" s="70">
        <f t="shared" si="66"/>
        <v>333.2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3">
        <f t="shared" si="353"/>
        <v>78</v>
      </c>
      <c r="C795" s="13" t="str">
        <f t="shared" si="352"/>
        <v>DESAYUNO MINI TORTA </v>
      </c>
      <c r="D795" s="13" t="s">
        <v>489</v>
      </c>
      <c r="E795" s="13" t="str">
        <f>IFERROR(VLOOKUP($D795,Insumos!$B:$U,D$1,0),"")</f>
        <v>Grs</v>
      </c>
      <c r="F795" s="70">
        <v>238.0</v>
      </c>
      <c r="G795" s="70">
        <f>IFERROR(VLOOKUP($D795,Insumos!$B:$U,G$1,0)/VLOOKUP($D795,Insumos!$B:$U,F$1,0),"")</f>
        <v>0.82</v>
      </c>
      <c r="H795" s="70">
        <f t="shared" si="66"/>
        <v>195.16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3">
        <f t="shared" si="353"/>
        <v>78</v>
      </c>
      <c r="C796" s="13" t="str">
        <f t="shared" si="352"/>
        <v>DESAYUNO MINI TORTA </v>
      </c>
      <c r="D796" s="13" t="s">
        <v>528</v>
      </c>
      <c r="E796" s="13" t="str">
        <f>IFERROR(VLOOKUP($D796,Insumos!$B:$U,D$1,0),"")</f>
        <v>Grs</v>
      </c>
      <c r="F796" s="70">
        <v>1.5</v>
      </c>
      <c r="G796" s="70">
        <f>IFERROR(VLOOKUP($D796,Insumos!$B:$U,G$1,0)/VLOOKUP($D796,Insumos!$B:$U,F$1,0),"")</f>
        <v>8</v>
      </c>
      <c r="H796" s="70">
        <f t="shared" si="66"/>
        <v>12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81">
        <f t="shared" si="353"/>
        <v>78</v>
      </c>
      <c r="C797" s="81" t="str">
        <f t="shared" si="352"/>
        <v>DESAYUNO MINI TORTA </v>
      </c>
      <c r="D797" s="81" t="s">
        <v>397</v>
      </c>
      <c r="E797" s="81" t="str">
        <f>IFERROR(VLOOKUP($D797,Insumos!$B:$U,D$1,0),"")</f>
        <v>Grs</v>
      </c>
      <c r="F797" s="82">
        <v>800.0</v>
      </c>
      <c r="G797" s="82">
        <f>IFERROR(VLOOKUP($D797,Insumos!$B:$U,G$1,0)/VLOOKUP($D797,Insumos!$B:$U,F$1,0),"")</f>
        <v>1.5</v>
      </c>
      <c r="H797" s="82">
        <f t="shared" si="66"/>
        <v>1200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3">
        <v>79.0</v>
      </c>
      <c r="C798" s="13" t="s">
        <v>678</v>
      </c>
      <c r="D798" s="13" t="str">
        <f t="shared" ref="D798:D802" si="354">D248</f>
        <v>Chocolinas</v>
      </c>
      <c r="E798" s="13" t="str">
        <f>IFERROR(VLOOKUP($D798,Insumos!$B:$U,D$1,0),"")</f>
        <v>Grs</v>
      </c>
      <c r="F798" s="70">
        <f>250*3</f>
        <v>750</v>
      </c>
      <c r="G798" s="70">
        <f>IFERROR(VLOOKUP($D798,Insumos!$B:$U,G$1,0)/VLOOKUP($D798,Insumos!$B:$U,F$1,0),"")</f>
        <v>7.6</v>
      </c>
      <c r="H798" s="70">
        <f t="shared" si="66"/>
        <v>5700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3">
        <f t="shared" ref="B799:B804" si="355">IF($D798="","",B798)</f>
        <v>79</v>
      </c>
      <c r="C799" s="13" t="str">
        <f t="shared" ref="C799:C804" si="356">IF($D799="","",C798)</f>
        <v>CHOCOTORTA CON DECO EN CHOCO</v>
      </c>
      <c r="D799" s="13" t="str">
        <f t="shared" si="354"/>
        <v>Dulce de leche</v>
      </c>
      <c r="E799" s="13" t="str">
        <f>IFERROR(VLOOKUP($D799,Insumos!$B:$U,D$1,0),"")</f>
        <v>Grs</v>
      </c>
      <c r="F799" s="70">
        <f>500*2</f>
        <v>1000</v>
      </c>
      <c r="G799" s="70">
        <f>IFERROR(VLOOKUP($D799,Insumos!$B:$U,G$1,0)/VLOOKUP($D799,Insumos!$B:$U,F$1,0),"")</f>
        <v>3.4</v>
      </c>
      <c r="H799" s="70">
        <f t="shared" si="66"/>
        <v>3400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3">
        <f t="shared" si="355"/>
        <v>79</v>
      </c>
      <c r="C800" s="13" t="str">
        <f t="shared" si="356"/>
        <v>CHOCOTORTA CON DECO EN CHOCO</v>
      </c>
      <c r="D800" s="13" t="str">
        <f t="shared" si="354"/>
        <v>Queso Crema</v>
      </c>
      <c r="E800" s="13" t="str">
        <f>IFERROR(VLOOKUP($D800,Insumos!$B:$U,D$1,0),"")</f>
        <v>Grs</v>
      </c>
      <c r="F800" s="70">
        <v>1000.0</v>
      </c>
      <c r="G800" s="70">
        <f>IFERROR(VLOOKUP($D800,Insumos!$B:$U,G$1,0)/VLOOKUP($D800,Insumos!$B:$U,F$1,0),"")</f>
        <v>7.428571429</v>
      </c>
      <c r="H800" s="70">
        <f t="shared" si="66"/>
        <v>7428.571429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3">
        <f t="shared" si="355"/>
        <v>79</v>
      </c>
      <c r="C801" s="13" t="str">
        <f t="shared" si="356"/>
        <v>CHOCOTORTA CON DECO EN CHOCO</v>
      </c>
      <c r="D801" s="13" t="str">
        <f t="shared" si="354"/>
        <v>chocolate</v>
      </c>
      <c r="E801" s="13" t="str">
        <f>IFERROR(VLOOKUP($D801,Insumos!$B:$U,D$1,0),"")</f>
        <v>Grs</v>
      </c>
      <c r="F801" s="70">
        <v>400.0</v>
      </c>
      <c r="G801" s="70">
        <f>IFERROR(VLOOKUP($D801,Insumos!$B:$U,G$1,0)/VLOOKUP($D801,Insumos!$B:$U,F$1,0),"")</f>
        <v>10</v>
      </c>
      <c r="H801" s="70">
        <f t="shared" si="66"/>
        <v>4000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3">
        <f t="shared" si="355"/>
        <v>79</v>
      </c>
      <c r="C802" s="13" t="str">
        <f t="shared" si="356"/>
        <v>CHOCOTORTA CON DECO EN CHOCO</v>
      </c>
      <c r="D802" s="13" t="str">
        <f t="shared" si="354"/>
        <v>Colorante</v>
      </c>
      <c r="E802" s="13" t="str">
        <f>IFERROR(VLOOKUP($D802,Insumos!$B:$U,D$1,0),"")</f>
        <v>Grs</v>
      </c>
      <c r="F802" s="70">
        <f t="shared" ref="F802:F804" si="357">F252</f>
        <v>10</v>
      </c>
      <c r="G802" s="70">
        <f>IFERROR(VLOOKUP($D802,Insumos!$B:$U,G$1,0)/VLOOKUP($D802,Insumos!$B:$U,F$1,0),"")</f>
        <v>120</v>
      </c>
      <c r="H802" s="70">
        <f t="shared" si="66"/>
        <v>1200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3">
        <f t="shared" si="355"/>
        <v>79</v>
      </c>
      <c r="C803" s="13" t="str">
        <f t="shared" si="356"/>
        <v>CHOCOTORTA CON DECO EN CHOCO</v>
      </c>
      <c r="D803" s="13" t="s">
        <v>427</v>
      </c>
      <c r="E803" s="13" t="str">
        <f>IFERROR(VLOOKUP($D803,Insumos!$B:$U,D$1,0),"")</f>
        <v>Unidad</v>
      </c>
      <c r="F803" s="70">
        <f t="shared" si="357"/>
        <v>1</v>
      </c>
      <c r="G803" s="70">
        <f>IFERROR(VLOOKUP($D803,Insumos!$B:$U,G$1,0)/VLOOKUP($D803,Insumos!$B:$U,F$1,0),"")</f>
        <v>358</v>
      </c>
      <c r="H803" s="70">
        <f t="shared" si="66"/>
        <v>358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81">
        <f t="shared" si="355"/>
        <v>79</v>
      </c>
      <c r="C804" s="81" t="str">
        <f t="shared" si="356"/>
        <v>CHOCOTORTA CON DECO EN CHOCO</v>
      </c>
      <c r="D804" s="81" t="str">
        <f>D254</f>
        <v>Bandeja Rígida y logo 40x30</v>
      </c>
      <c r="E804" s="81" t="str">
        <f>IFERROR(VLOOKUP($D804,Insumos!$B:$U,D$1,0),"")</f>
        <v>Unidad</v>
      </c>
      <c r="F804" s="82">
        <f t="shared" si="357"/>
        <v>1</v>
      </c>
      <c r="G804" s="82">
        <f>IFERROR(VLOOKUP($D804,Insumos!$B:$U,G$1,0)/VLOOKUP($D804,Insumos!$B:$U,F$1,0),"")</f>
        <v>2250</v>
      </c>
      <c r="H804" s="82">
        <f t="shared" si="66"/>
        <v>2250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3">
        <v>80.0</v>
      </c>
      <c r="C805" s="13" t="s">
        <v>679</v>
      </c>
      <c r="D805" s="13" t="s">
        <v>505</v>
      </c>
      <c r="E805" s="13" t="str">
        <f>IFERROR(VLOOKUP($D805,Insumos!$B:$U,D$1,0),"")</f>
        <v>Grs</v>
      </c>
      <c r="F805" s="70">
        <v>100.0</v>
      </c>
      <c r="G805" s="70">
        <f>IFERROR(VLOOKUP($D805,Insumos!$B:$U,G$1,0)/VLOOKUP($D805,Insumos!$B:$U,F$1,0),"")</f>
        <v>11</v>
      </c>
      <c r="H805" s="70">
        <f t="shared" si="66"/>
        <v>1100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3">
        <v>80.0</v>
      </c>
      <c r="C806" s="13" t="str">
        <f t="shared" ref="C806:C811" si="358">IF($D806="","",C805)</f>
        <v>muffins sin tacc 12 u. </v>
      </c>
      <c r="D806" s="13" t="s">
        <v>395</v>
      </c>
      <c r="E806" s="13" t="str">
        <f>IFERROR(VLOOKUP($D806,Insumos!$B:$U,D$1,0),"")</f>
        <v>Grs</v>
      </c>
      <c r="F806" s="70">
        <v>200.0</v>
      </c>
      <c r="G806" s="70">
        <f>IFERROR(VLOOKUP($D806,Insumos!$B:$U,G$1,0)/VLOOKUP($D806,Insumos!$B:$U,F$1,0),"")</f>
        <v>1.4</v>
      </c>
      <c r="H806" s="70">
        <f t="shared" si="66"/>
        <v>280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3">
        <f t="shared" ref="B807:B811" si="359">IF($D806="","",B806)</f>
        <v>80</v>
      </c>
      <c r="C807" s="13" t="str">
        <f t="shared" si="358"/>
        <v>muffins sin tacc 12 u. </v>
      </c>
      <c r="D807" s="13" t="s">
        <v>468</v>
      </c>
      <c r="E807" s="13" t="str">
        <f>IFERROR(VLOOKUP($D807,Insumos!$B:$U,D$1,0),"")</f>
        <v>Cm3</v>
      </c>
      <c r="F807" s="70">
        <v>5.0</v>
      </c>
      <c r="G807" s="70">
        <f>IFERROR(VLOOKUP($D807,Insumos!$B:$U,G$1,0)/VLOOKUP($D807,Insumos!$B:$U,F$1,0),"")</f>
        <v>1.52</v>
      </c>
      <c r="H807" s="70">
        <f t="shared" si="66"/>
        <v>7.6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3">
        <f t="shared" si="359"/>
        <v>80</v>
      </c>
      <c r="C808" s="13" t="str">
        <f t="shared" si="358"/>
        <v>muffins sin tacc 12 u. </v>
      </c>
      <c r="D808" s="13" t="s">
        <v>492</v>
      </c>
      <c r="E808" s="13" t="str">
        <f>IFERROR(VLOOKUP($D808,Insumos!$B:$U,D$1,0),"")</f>
        <v>Unidad</v>
      </c>
      <c r="F808" s="70">
        <v>2.0</v>
      </c>
      <c r="G808" s="70">
        <f>IFERROR(VLOOKUP($D808,Insumos!$B:$U,G$1,0)/VLOOKUP($D808,Insumos!$B:$U,F$1,0),"")</f>
        <v>166.6666667</v>
      </c>
      <c r="H808" s="70">
        <f t="shared" si="66"/>
        <v>333.3333333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3">
        <f t="shared" si="359"/>
        <v>80</v>
      </c>
      <c r="C809" s="13" t="str">
        <f t="shared" si="358"/>
        <v>muffins sin tacc 12 u. </v>
      </c>
      <c r="D809" s="13" t="s">
        <v>496</v>
      </c>
      <c r="E809" s="13" t="str">
        <f>IFERROR(VLOOKUP($D809,Insumos!$B:$U,D$1,0),"")</f>
        <v>Cm3</v>
      </c>
      <c r="F809" s="70">
        <v>100.0</v>
      </c>
      <c r="G809" s="70">
        <f>IFERROR(VLOOKUP($D809,Insumos!$B:$U,G$1,0)/VLOOKUP($D809,Insumos!$B:$U,F$1,0),"")</f>
        <v>2.1</v>
      </c>
      <c r="H809" s="70">
        <f t="shared" si="66"/>
        <v>210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3">
        <f t="shared" si="359"/>
        <v>80</v>
      </c>
      <c r="C810" s="13" t="str">
        <f t="shared" si="358"/>
        <v>muffins sin tacc 12 u. </v>
      </c>
      <c r="D810" s="13" t="s">
        <v>532</v>
      </c>
      <c r="E810" s="13" t="str">
        <f>IFERROR(VLOOKUP($D810,Insumos!$B:$U,D$1,0),"")</f>
        <v>Grs</v>
      </c>
      <c r="F810" s="70">
        <v>250.0</v>
      </c>
      <c r="G810" s="70">
        <f>IFERROR(VLOOKUP($D810,Insumos!$B:$U,G$1,0)/VLOOKUP($D810,Insumos!$B:$U,F$1,0),"")</f>
        <v>7</v>
      </c>
      <c r="H810" s="70">
        <f t="shared" si="66"/>
        <v>1750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81">
        <f t="shared" si="359"/>
        <v>80</v>
      </c>
      <c r="C811" s="81" t="str">
        <f t="shared" si="358"/>
        <v>muffins sin tacc 12 u. </v>
      </c>
      <c r="D811" s="81" t="s">
        <v>528</v>
      </c>
      <c r="E811" s="81" t="str">
        <f>IFERROR(VLOOKUP($D811,Insumos!$B:$U,D$1,0),"")</f>
        <v>Grs</v>
      </c>
      <c r="F811" s="82">
        <v>10.0</v>
      </c>
      <c r="G811" s="82">
        <f>IFERROR(VLOOKUP($D811,Insumos!$B:$U,G$1,0)/VLOOKUP($D811,Insumos!$B:$U,F$1,0),"")</f>
        <v>8</v>
      </c>
      <c r="H811" s="82">
        <f t="shared" si="66"/>
        <v>80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3">
        <v>81.0</v>
      </c>
      <c r="C812" s="13" t="s">
        <v>680</v>
      </c>
      <c r="D812" s="13" t="s">
        <v>532</v>
      </c>
      <c r="E812" s="13" t="str">
        <f>IFERROR(VLOOKUP($D812,Insumos!$B:$U,D$1,0),"")</f>
        <v>Grs</v>
      </c>
      <c r="F812" s="70">
        <v>500.0</v>
      </c>
      <c r="G812" s="70">
        <f>IFERROR(VLOOKUP($D812,Insumos!$B:$U,G$1,0)/VLOOKUP($D812,Insumos!$B:$U,F$1,0),"")</f>
        <v>7</v>
      </c>
      <c r="H812" s="70">
        <f t="shared" si="66"/>
        <v>3500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3">
        <f t="shared" ref="B813:B816" si="360">IF($D812="","",B812)</f>
        <v>81</v>
      </c>
      <c r="C813" s="13" t="str">
        <f t="shared" ref="C813:C816" si="361">IF($D813="","",C812)</f>
        <v>masa para tartas dulces Sin tacc </v>
      </c>
      <c r="D813" s="13" t="s">
        <v>492</v>
      </c>
      <c r="E813" s="13" t="str">
        <f>IFERROR(VLOOKUP($D813,Insumos!$B:$U,D$1,0),"")</f>
        <v>Unidad</v>
      </c>
      <c r="F813" s="70">
        <v>2.0</v>
      </c>
      <c r="G813" s="70">
        <f>IFERROR(VLOOKUP($D813,Insumos!$B:$U,G$1,0)/VLOOKUP($D813,Insumos!$B:$U,F$1,0),"")</f>
        <v>166.6666667</v>
      </c>
      <c r="H813" s="70">
        <f t="shared" si="66"/>
        <v>333.3333333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3">
        <f t="shared" si="360"/>
        <v>81</v>
      </c>
      <c r="C814" s="13" t="str">
        <f t="shared" si="361"/>
        <v>masa para tartas dulces Sin tacc </v>
      </c>
      <c r="D814" s="13" t="s">
        <v>395</v>
      </c>
      <c r="E814" s="13" t="str">
        <f>IFERROR(VLOOKUP($D814,Insumos!$B:$U,D$1,0),"")</f>
        <v>Grs</v>
      </c>
      <c r="F814" s="70">
        <v>200.0</v>
      </c>
      <c r="G814" s="70">
        <f>IFERROR(VLOOKUP($D814,Insumos!$B:$U,G$1,0)/VLOOKUP($D814,Insumos!$B:$U,F$1,0),"")</f>
        <v>1.4</v>
      </c>
      <c r="H814" s="70">
        <f t="shared" si="66"/>
        <v>280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3">
        <f t="shared" si="360"/>
        <v>81</v>
      </c>
      <c r="C815" s="13" t="str">
        <f t="shared" si="361"/>
        <v>masa para tartas dulces Sin tacc </v>
      </c>
      <c r="D815" s="13" t="s">
        <v>505</v>
      </c>
      <c r="E815" s="13" t="str">
        <f>IFERROR(VLOOKUP($D815,Insumos!$B:$U,D$1,0),"")</f>
        <v>Grs</v>
      </c>
      <c r="F815" s="70">
        <v>100.0</v>
      </c>
      <c r="G815" s="70">
        <f>IFERROR(VLOOKUP($D815,Insumos!$B:$U,G$1,0)/VLOOKUP($D815,Insumos!$B:$U,F$1,0),"")</f>
        <v>11</v>
      </c>
      <c r="H815" s="70">
        <f t="shared" si="66"/>
        <v>1100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81">
        <f t="shared" si="360"/>
        <v>81</v>
      </c>
      <c r="C816" s="81" t="str">
        <f t="shared" si="361"/>
        <v>masa para tartas dulces Sin tacc </v>
      </c>
      <c r="D816" s="81" t="s">
        <v>468</v>
      </c>
      <c r="E816" s="81" t="str">
        <f>IFERROR(VLOOKUP($D816,Insumos!$B:$U,D$1,0),"")</f>
        <v>Cm3</v>
      </c>
      <c r="F816" s="82">
        <v>5.0</v>
      </c>
      <c r="G816" s="82">
        <f>IFERROR(VLOOKUP($D816,Insumos!$B:$U,G$1,0)/VLOOKUP($D816,Insumos!$B:$U,F$1,0),"")</f>
        <v>1.52</v>
      </c>
      <c r="H816" s="82">
        <f t="shared" si="66"/>
        <v>7.6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3">
        <v>82.0</v>
      </c>
      <c r="C817" s="13" t="s">
        <v>681</v>
      </c>
      <c r="D817" s="13" t="s">
        <v>510</v>
      </c>
      <c r="E817" s="13" t="str">
        <f>IFERROR(VLOOKUP($D817,Insumos!$B:$U,D$1,0),"")</f>
        <v>Grs</v>
      </c>
      <c r="F817" s="70">
        <v>1000.0</v>
      </c>
      <c r="G817" s="70">
        <f>IFERROR(VLOOKUP($D817,Insumos!$B:$U,G$1,0)/VLOOKUP($D817,Insumos!$B:$U,F$1,0),"")</f>
        <v>3.89</v>
      </c>
      <c r="H817" s="70">
        <f t="shared" si="66"/>
        <v>3890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81">
        <f>IF($D817="","",B817)</f>
        <v>82</v>
      </c>
      <c r="C818" s="81" t="str">
        <f>IF($D818="","",C817)</f>
        <v>relleno pastafrola sin tacc </v>
      </c>
      <c r="D818" s="81" t="s">
        <v>516</v>
      </c>
      <c r="E818" s="81" t="str">
        <f>IFERROR(VLOOKUP($D818,Insumos!$B:$U,D$1,0),"")</f>
        <v>Grs</v>
      </c>
      <c r="F818" s="82">
        <v>100.0</v>
      </c>
      <c r="G818" s="82">
        <f>IFERROR(VLOOKUP($D818,Insumos!$B:$U,G$1,0)/VLOOKUP($D818,Insumos!$B:$U,F$1,0),"")</f>
        <v>19</v>
      </c>
      <c r="H818" s="82">
        <f t="shared" si="66"/>
        <v>1900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3">
        <v>83.0</v>
      </c>
      <c r="C819" s="13" t="s">
        <v>682</v>
      </c>
      <c r="D819" s="13" t="s">
        <v>538</v>
      </c>
      <c r="E819" s="13" t="str">
        <f>IFERROR(VLOOKUP($D819,Insumos!$B:$U,D$1,0),"")</f>
        <v>Grs</v>
      </c>
      <c r="F819" s="70">
        <v>600.0</v>
      </c>
      <c r="G819" s="70">
        <f>IFERROR(VLOOKUP($D819,Insumos!$B:$U,G$1,0)/VLOOKUP($D819,Insumos!$B:$U,F$1,0),"")</f>
        <v>7</v>
      </c>
      <c r="H819" s="70">
        <f t="shared" si="66"/>
        <v>4200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3">
        <f t="shared" ref="B820:B821" si="362">IF($D819="","",B819)</f>
        <v>83</v>
      </c>
      <c r="C820" s="13" t="str">
        <f t="shared" ref="C820:C821" si="363">IF($D820="","",C819)</f>
        <v>relleno ricota sin tacc</v>
      </c>
      <c r="D820" s="13" t="s">
        <v>395</v>
      </c>
      <c r="E820" s="13" t="str">
        <f>IFERROR(VLOOKUP($D820,Insumos!$B:$U,D$1,0),"")</f>
        <v>Grs</v>
      </c>
      <c r="F820" s="70">
        <v>200.0</v>
      </c>
      <c r="G820" s="70">
        <f>IFERROR(VLOOKUP($D820,Insumos!$B:$U,G$1,0)/VLOOKUP($D820,Insumos!$B:$U,F$1,0),"")</f>
        <v>1.4</v>
      </c>
      <c r="H820" s="70">
        <f t="shared" si="66"/>
        <v>280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81">
        <f t="shared" si="362"/>
        <v>83</v>
      </c>
      <c r="C821" s="81" t="str">
        <f t="shared" si="363"/>
        <v>relleno ricota sin tacc</v>
      </c>
      <c r="D821" s="81" t="s">
        <v>501</v>
      </c>
      <c r="E821" s="81" t="str">
        <f>IFERROR(VLOOKUP($D821,Insumos!$B:$U,D$1,0),"")</f>
        <v>Grs</v>
      </c>
      <c r="F821" s="82">
        <v>20.0</v>
      </c>
      <c r="G821" s="82">
        <f>IFERROR(VLOOKUP($D821,Insumos!$B:$U,G$1,0)/VLOOKUP($D821,Insumos!$B:$U,F$1,0),"")</f>
        <v>2.8</v>
      </c>
      <c r="H821" s="82">
        <f t="shared" si="66"/>
        <v>56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3">
        <v>84.0</v>
      </c>
      <c r="C822" s="13" t="s">
        <v>683</v>
      </c>
      <c r="D822" s="13" t="s">
        <v>501</v>
      </c>
      <c r="E822" s="13" t="str">
        <f>IFERROR(VLOOKUP($D822,Insumos!$B:$U,D$1,0),"")</f>
        <v>Grs</v>
      </c>
      <c r="F822" s="70">
        <v>250.0</v>
      </c>
      <c r="G822" s="70">
        <f>IFERROR(VLOOKUP($D822,Insumos!$B:$U,G$1,0)/VLOOKUP($D822,Insumos!$B:$U,F$1,0),"")</f>
        <v>2.8</v>
      </c>
      <c r="H822" s="70">
        <f t="shared" si="66"/>
        <v>700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3">
        <f t="shared" ref="B823:B829" si="364">IF($D822="","",B822)</f>
        <v>84</v>
      </c>
      <c r="C823" s="13" t="str">
        <f t="shared" ref="C823:C829" si="365">IF($D823="","",C822)</f>
        <v>alfajores de Maicena SIN TACC</v>
      </c>
      <c r="D823" s="13" t="s">
        <v>473</v>
      </c>
      <c r="E823" s="13" t="str">
        <f>IFERROR(VLOOKUP($D823,Insumos!$B:$U,D$1,0),"")</f>
        <v>Grs</v>
      </c>
      <c r="F823" s="70">
        <v>250.0</v>
      </c>
      <c r="G823" s="70">
        <f>IFERROR(VLOOKUP($D823,Insumos!$B:$U,G$1,0)/VLOOKUP($D823,Insumos!$B:$U,F$1,0),"")</f>
        <v>3.5</v>
      </c>
      <c r="H823" s="70">
        <f t="shared" si="66"/>
        <v>875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3">
        <f t="shared" si="364"/>
        <v>84</v>
      </c>
      <c r="C824" s="13" t="str">
        <f t="shared" si="365"/>
        <v>alfajores de Maicena SIN TACC</v>
      </c>
      <c r="D824" s="13" t="s">
        <v>492</v>
      </c>
      <c r="E824" s="13" t="str">
        <f>IFERROR(VLOOKUP($D824,Insumos!$B:$U,D$1,0),"")</f>
        <v>Unidad</v>
      </c>
      <c r="F824" s="70">
        <v>3.0</v>
      </c>
      <c r="G824" s="70">
        <f>IFERROR(VLOOKUP($D824,Insumos!$B:$U,G$1,0)/VLOOKUP($D824,Insumos!$B:$U,F$1,0),"")</f>
        <v>166.6666667</v>
      </c>
      <c r="H824" s="70">
        <f t="shared" si="66"/>
        <v>500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3">
        <f t="shared" si="364"/>
        <v>84</v>
      </c>
      <c r="C825" s="13" t="str">
        <f t="shared" si="365"/>
        <v>alfajores de Maicena SIN TACC</v>
      </c>
      <c r="D825" s="13" t="s">
        <v>497</v>
      </c>
      <c r="E825" s="13" t="str">
        <f>IFERROR(VLOOKUP($D825,Insumos!$B:$U,D$1,0),"")</f>
        <v>Grs</v>
      </c>
      <c r="F825" s="70">
        <v>395.0</v>
      </c>
      <c r="G825" s="70">
        <f>IFERROR(VLOOKUP($D825,Insumos!$B:$U,G$1,0)/VLOOKUP($D825,Insumos!$B:$U,F$1,0),"")</f>
        <v>5.797468354</v>
      </c>
      <c r="H825" s="70">
        <f t="shared" si="66"/>
        <v>2290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3">
        <f t="shared" si="364"/>
        <v>84</v>
      </c>
      <c r="C826" s="13" t="str">
        <f t="shared" si="365"/>
        <v>alfajores de Maicena SIN TACC</v>
      </c>
      <c r="D826" s="13" t="s">
        <v>505</v>
      </c>
      <c r="E826" s="13" t="str">
        <f>IFERROR(VLOOKUP($D826,Insumos!$B:$U,D$1,0),"")</f>
        <v>Grs</v>
      </c>
      <c r="F826" s="70">
        <v>90.0</v>
      </c>
      <c r="G826" s="70">
        <f>IFERROR(VLOOKUP($D826,Insumos!$B:$U,G$1,0)/VLOOKUP($D826,Insumos!$B:$U,F$1,0),"")</f>
        <v>11</v>
      </c>
      <c r="H826" s="70">
        <f t="shared" si="66"/>
        <v>990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3">
        <f t="shared" si="364"/>
        <v>84</v>
      </c>
      <c r="C827" s="13" t="str">
        <f t="shared" si="365"/>
        <v>alfajores de Maicena SIN TACC</v>
      </c>
      <c r="D827" s="13" t="s">
        <v>468</v>
      </c>
      <c r="E827" s="13" t="str">
        <f>IFERROR(VLOOKUP($D827,Insumos!$B:$U,D$1,0),"")</f>
        <v>Cm3</v>
      </c>
      <c r="F827" s="70">
        <v>10.0</v>
      </c>
      <c r="G827" s="70">
        <f>IFERROR(VLOOKUP($D827,Insumos!$B:$U,G$1,0)/VLOOKUP($D827,Insumos!$B:$U,F$1,0),"")</f>
        <v>1.52</v>
      </c>
      <c r="H827" s="70">
        <f t="shared" si="66"/>
        <v>15.2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3">
        <f t="shared" si="364"/>
        <v>84</v>
      </c>
      <c r="C828" s="13" t="str">
        <f t="shared" si="365"/>
        <v>alfajores de Maicena SIN TACC</v>
      </c>
      <c r="D828" s="13" t="s">
        <v>528</v>
      </c>
      <c r="E828" s="13" t="str">
        <f>IFERROR(VLOOKUP($D828,Insumos!$B:$U,D$1,0),"")</f>
        <v>Grs</v>
      </c>
      <c r="F828" s="70">
        <v>10.0</v>
      </c>
      <c r="G828" s="70">
        <f>IFERROR(VLOOKUP($D828,Insumos!$B:$U,G$1,0)/VLOOKUP($D828,Insumos!$B:$U,F$1,0),"")</f>
        <v>8</v>
      </c>
      <c r="H828" s="70">
        <f t="shared" si="66"/>
        <v>80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81">
        <f t="shared" si="364"/>
        <v>84</v>
      </c>
      <c r="C829" s="81" t="str">
        <f t="shared" si="365"/>
        <v>alfajores de Maicena SIN TACC</v>
      </c>
      <c r="D829" s="81" t="s">
        <v>500</v>
      </c>
      <c r="E829" s="81" t="str">
        <f>IFERROR(VLOOKUP($D829,Insumos!$B:$U,D$1,0),"")</f>
        <v>Unidad</v>
      </c>
      <c r="F829" s="82">
        <v>1.0</v>
      </c>
      <c r="G829" s="82">
        <f>IFERROR(VLOOKUP($D829,Insumos!$B:$U,G$1,0)/VLOOKUP($D829,Insumos!$B:$U,F$1,0),"")</f>
        <v>180</v>
      </c>
      <c r="H829" s="82">
        <f t="shared" si="66"/>
        <v>180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3">
        <v>85.0</v>
      </c>
      <c r="C830" s="13" t="s">
        <v>684</v>
      </c>
      <c r="D830" s="13" t="s">
        <v>473</v>
      </c>
      <c r="E830" s="13" t="str">
        <f>IFERROR(VLOOKUP($D830,Insumos!$B:$U,D$1,0),"")</f>
        <v>Grs</v>
      </c>
      <c r="F830" s="70">
        <v>200.0</v>
      </c>
      <c r="G830" s="70">
        <f>IFERROR(VLOOKUP($D830,Insumos!$B:$U,G$1,0)/VLOOKUP($D830,Insumos!$B:$U,F$1,0),"")</f>
        <v>3.5</v>
      </c>
      <c r="H830" s="70">
        <f t="shared" si="66"/>
        <v>700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3">
        <f t="shared" ref="B831:B835" si="366">IF($D830="","",B830)</f>
        <v>85</v>
      </c>
      <c r="C831" s="13" t="str">
        <f t="shared" ref="C831:C835" si="367">IF($D831="","",C830)</f>
        <v>Galletitas Sin tacc </v>
      </c>
      <c r="D831" s="13" t="s">
        <v>395</v>
      </c>
      <c r="E831" s="13" t="str">
        <f>IFERROR(VLOOKUP($D831,Insumos!$B:$U,D$1,0),"")</f>
        <v>Grs</v>
      </c>
      <c r="F831" s="70">
        <v>150.0</v>
      </c>
      <c r="G831" s="70">
        <f>IFERROR(VLOOKUP($D831,Insumos!$B:$U,G$1,0)/VLOOKUP($D831,Insumos!$B:$U,F$1,0),"")</f>
        <v>1.4</v>
      </c>
      <c r="H831" s="70">
        <f t="shared" si="66"/>
        <v>210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3">
        <f t="shared" si="366"/>
        <v>85</v>
      </c>
      <c r="C832" s="13" t="str">
        <f t="shared" si="367"/>
        <v>Galletitas Sin tacc </v>
      </c>
      <c r="D832" s="13" t="s">
        <v>388</v>
      </c>
      <c r="E832" s="13" t="str">
        <f>IFERROR(VLOOKUP($D832,Insumos!$B:$U,D$1,0),"")</f>
        <v>Cm3</v>
      </c>
      <c r="F832" s="70">
        <v>40.0</v>
      </c>
      <c r="G832" s="70">
        <f>IFERROR(VLOOKUP($D832,Insumos!$B:$U,G$1,0)/VLOOKUP($D832,Insumos!$B:$U,F$1,0),"")</f>
        <v>1.285714286</v>
      </c>
      <c r="H832" s="70">
        <f t="shared" si="66"/>
        <v>51.42857143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3">
        <f t="shared" si="366"/>
        <v>85</v>
      </c>
      <c r="C833" s="13" t="str">
        <f t="shared" si="367"/>
        <v>Galletitas Sin tacc </v>
      </c>
      <c r="D833" s="13" t="s">
        <v>492</v>
      </c>
      <c r="E833" s="13" t="str">
        <f>IFERROR(VLOOKUP($D833,Insumos!$B:$U,D$1,0),"")</f>
        <v>Unidad</v>
      </c>
      <c r="F833" s="70">
        <v>1.0</v>
      </c>
      <c r="G833" s="70">
        <f>IFERROR(VLOOKUP($D833,Insumos!$B:$U,G$1,0)/VLOOKUP($D833,Insumos!$B:$U,F$1,0),"")</f>
        <v>166.6666667</v>
      </c>
      <c r="H833" s="70">
        <f t="shared" si="66"/>
        <v>166.6666667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3">
        <f t="shared" si="366"/>
        <v>85</v>
      </c>
      <c r="C834" s="13" t="str">
        <f t="shared" si="367"/>
        <v>Galletitas Sin tacc </v>
      </c>
      <c r="D834" s="13" t="s">
        <v>528</v>
      </c>
      <c r="E834" s="13" t="str">
        <f>IFERROR(VLOOKUP($D834,Insumos!$B:$U,D$1,0),"")</f>
        <v>Grs</v>
      </c>
      <c r="F834" s="70">
        <v>5.0</v>
      </c>
      <c r="G834" s="70">
        <f>IFERROR(VLOOKUP($D834,Insumos!$B:$U,G$1,0)/VLOOKUP($D834,Insumos!$B:$U,F$1,0),"")</f>
        <v>8</v>
      </c>
      <c r="H834" s="70">
        <f t="shared" si="66"/>
        <v>40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81">
        <f t="shared" si="366"/>
        <v>85</v>
      </c>
      <c r="C835" s="81" t="str">
        <f t="shared" si="367"/>
        <v>Galletitas Sin tacc </v>
      </c>
      <c r="D835" s="81" t="s">
        <v>468</v>
      </c>
      <c r="E835" s="81" t="str">
        <f>IFERROR(VLOOKUP($D835,Insumos!$B:$U,D$1,0),"")</f>
        <v>Cm3</v>
      </c>
      <c r="F835" s="82">
        <v>10.0</v>
      </c>
      <c r="G835" s="82">
        <f>IFERROR(VLOOKUP($D835,Insumos!$B:$U,G$1,0)/VLOOKUP($D835,Insumos!$B:$U,F$1,0),"")</f>
        <v>1.52</v>
      </c>
      <c r="H835" s="82">
        <f t="shared" si="66"/>
        <v>15.2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3">
        <v>86.0</v>
      </c>
      <c r="C836" s="13" t="s">
        <v>685</v>
      </c>
      <c r="D836" s="13" t="s">
        <v>492</v>
      </c>
      <c r="E836" s="13" t="str">
        <f>IFERROR(VLOOKUP($D836,Insumos!$B:$U,D$1,0),"")</f>
        <v>Unidad</v>
      </c>
      <c r="F836" s="70">
        <v>6.0</v>
      </c>
      <c r="G836" s="70">
        <f>IFERROR(VLOOKUP($D836,Insumos!$B:$U,G$1,0)/VLOOKUP($D836,Insumos!$B:$U,F$1,0),"")</f>
        <v>166.6666667</v>
      </c>
      <c r="H836" s="70">
        <f t="shared" si="66"/>
        <v>1000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3">
        <f t="shared" ref="B837:B840" si="368">IF($D836="","",B836)</f>
        <v>86</v>
      </c>
      <c r="C837" s="13" t="str">
        <f t="shared" ref="C837:C840" si="369">IF($D837="","",C836)</f>
        <v>bizcochuelo Sin Tacc</v>
      </c>
      <c r="D837" s="13" t="s">
        <v>395</v>
      </c>
      <c r="E837" s="13" t="str">
        <f>IFERROR(VLOOKUP($D837,Insumos!$B:$U,D$1,0),"")</f>
        <v>Grs</v>
      </c>
      <c r="F837" s="70">
        <v>200.0</v>
      </c>
      <c r="G837" s="70">
        <f>IFERROR(VLOOKUP($D837,Insumos!$B:$U,G$1,0)/VLOOKUP($D837,Insumos!$B:$U,F$1,0),"")</f>
        <v>1.4</v>
      </c>
      <c r="H837" s="70">
        <f t="shared" si="66"/>
        <v>280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3">
        <f t="shared" si="368"/>
        <v>86</v>
      </c>
      <c r="C838" s="13" t="str">
        <f t="shared" si="369"/>
        <v>bizcochuelo Sin Tacc</v>
      </c>
      <c r="D838" s="13" t="s">
        <v>532</v>
      </c>
      <c r="E838" s="13" t="str">
        <f>IFERROR(VLOOKUP($D838,Insumos!$B:$U,D$1,0),"")</f>
        <v>Grs</v>
      </c>
      <c r="F838" s="70">
        <v>200.0</v>
      </c>
      <c r="G838" s="70">
        <f>IFERROR(VLOOKUP($D838,Insumos!$B:$U,G$1,0)/VLOOKUP($D838,Insumos!$B:$U,F$1,0),"")</f>
        <v>7</v>
      </c>
      <c r="H838" s="70">
        <f t="shared" si="66"/>
        <v>1400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3">
        <f t="shared" si="368"/>
        <v>86</v>
      </c>
      <c r="C839" s="13" t="str">
        <f t="shared" si="369"/>
        <v>bizcochuelo Sin Tacc</v>
      </c>
      <c r="D839" s="13" t="s">
        <v>528</v>
      </c>
      <c r="E839" s="13" t="str">
        <f>IFERROR(VLOOKUP($D839,Insumos!$B:$U,D$1,0),"")</f>
        <v>Grs</v>
      </c>
      <c r="F839" s="70">
        <v>10.0</v>
      </c>
      <c r="G839" s="70">
        <f>IFERROR(VLOOKUP($D839,Insumos!$B:$U,G$1,0)/VLOOKUP($D839,Insumos!$B:$U,F$1,0),"")</f>
        <v>8</v>
      </c>
      <c r="H839" s="70">
        <f t="shared" si="66"/>
        <v>80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81">
        <f t="shared" si="368"/>
        <v>86</v>
      </c>
      <c r="C840" s="81" t="str">
        <f t="shared" si="369"/>
        <v>bizcochuelo Sin Tacc</v>
      </c>
      <c r="D840" s="81" t="s">
        <v>468</v>
      </c>
      <c r="E840" s="81" t="str">
        <f>IFERROR(VLOOKUP($D840,Insumos!$B:$U,D$1,0),"")</f>
        <v>Cm3</v>
      </c>
      <c r="F840" s="82">
        <v>10.0</v>
      </c>
      <c r="G840" s="82">
        <f>IFERROR(VLOOKUP($D840,Insumos!$B:$U,G$1,0)/VLOOKUP($D840,Insumos!$B:$U,F$1,0),"")</f>
        <v>1.52</v>
      </c>
      <c r="H840" s="82">
        <f t="shared" si="66"/>
        <v>15.2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3">
        <v>87.0</v>
      </c>
      <c r="C841" s="13" t="s">
        <v>686</v>
      </c>
      <c r="D841" s="13" t="s">
        <v>501</v>
      </c>
      <c r="E841" s="13" t="str">
        <f>IFERROR(VLOOKUP($D841,Insumos!$B:$U,D$1,0),"")</f>
        <v>Grs</v>
      </c>
      <c r="F841" s="70">
        <v>170.0</v>
      </c>
      <c r="G841" s="70">
        <f>IFERROR(VLOOKUP($D841,Insumos!$B:$U,G$1,0)/VLOOKUP($D841,Insumos!$B:$U,F$1,0),"")</f>
        <v>2.8</v>
      </c>
      <c r="H841" s="70">
        <f t="shared" si="66"/>
        <v>476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3">
        <f t="shared" ref="B842:B850" si="370">IF($D841="","",B841)</f>
        <v>87</v>
      </c>
      <c r="C842" s="13" t="str">
        <f t="shared" ref="C842:C850" si="371">IF($D842="","",C841)</f>
        <v>medialunas SIN TACC</v>
      </c>
      <c r="D842" s="13" t="s">
        <v>473</v>
      </c>
      <c r="E842" s="13" t="str">
        <f>IFERROR(VLOOKUP($D842,Insumos!$B:$U,D$1,0),"")</f>
        <v>Grs</v>
      </c>
      <c r="F842" s="70">
        <v>170.0</v>
      </c>
      <c r="G842" s="70">
        <f>IFERROR(VLOOKUP($D842,Insumos!$B:$U,G$1,0)/VLOOKUP($D842,Insumos!$B:$U,F$1,0),"")</f>
        <v>3.5</v>
      </c>
      <c r="H842" s="70">
        <f t="shared" si="66"/>
        <v>595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3">
        <f t="shared" si="370"/>
        <v>87</v>
      </c>
      <c r="C843" s="13" t="str">
        <f t="shared" si="371"/>
        <v>medialunas SIN TACC</v>
      </c>
      <c r="D843" s="13" t="s">
        <v>496</v>
      </c>
      <c r="E843" s="13" t="str">
        <f>IFERROR(VLOOKUP($D843,Insumos!$B:$U,D$1,0),"")</f>
        <v>Cm3</v>
      </c>
      <c r="F843" s="70">
        <v>300.0</v>
      </c>
      <c r="G843" s="70">
        <f>IFERROR(VLOOKUP($D843,Insumos!$B:$U,G$1,0)/VLOOKUP($D843,Insumos!$B:$U,F$1,0),"")</f>
        <v>2.1</v>
      </c>
      <c r="H843" s="70">
        <f t="shared" si="66"/>
        <v>630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3">
        <f t="shared" si="370"/>
        <v>87</v>
      </c>
      <c r="C844" s="13" t="str">
        <f t="shared" si="371"/>
        <v>medialunas SIN TACC</v>
      </c>
      <c r="D844" s="13" t="s">
        <v>528</v>
      </c>
      <c r="E844" s="13" t="str">
        <f>IFERROR(VLOOKUP($D844,Insumos!$B:$U,D$1,0),"")</f>
        <v>Grs</v>
      </c>
      <c r="F844" s="70">
        <v>10.0</v>
      </c>
      <c r="G844" s="70">
        <f>IFERROR(VLOOKUP($D844,Insumos!$B:$U,G$1,0)/VLOOKUP($D844,Insumos!$B:$U,F$1,0),"")</f>
        <v>8</v>
      </c>
      <c r="H844" s="70">
        <f t="shared" si="66"/>
        <v>80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3">
        <f t="shared" si="370"/>
        <v>87</v>
      </c>
      <c r="C845" s="13" t="str">
        <f t="shared" si="371"/>
        <v>medialunas SIN TACC</v>
      </c>
      <c r="D845" s="13" t="s">
        <v>395</v>
      </c>
      <c r="E845" s="13" t="str">
        <f>IFERROR(VLOOKUP($D845,Insumos!$B:$U,D$1,0),"")</f>
        <v>Grs</v>
      </c>
      <c r="F845" s="70">
        <v>300.0</v>
      </c>
      <c r="G845" s="70">
        <f>IFERROR(VLOOKUP($D845,Insumos!$B:$U,G$1,0)/VLOOKUP($D845,Insumos!$B:$U,F$1,0),"")</f>
        <v>1.4</v>
      </c>
      <c r="H845" s="70">
        <f t="shared" si="66"/>
        <v>420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3">
        <f t="shared" si="370"/>
        <v>87</v>
      </c>
      <c r="C846" s="13" t="str">
        <f t="shared" si="371"/>
        <v>medialunas SIN TACC</v>
      </c>
      <c r="D846" s="13" t="s">
        <v>492</v>
      </c>
      <c r="E846" s="13" t="str">
        <f>IFERROR(VLOOKUP($D846,Insumos!$B:$U,D$1,0),"")</f>
        <v>Unidad</v>
      </c>
      <c r="F846" s="70">
        <v>3.0</v>
      </c>
      <c r="G846" s="70">
        <f>IFERROR(VLOOKUP($D846,Insumos!$B:$U,G$1,0)/VLOOKUP($D846,Insumos!$B:$U,F$1,0),"")</f>
        <v>166.6666667</v>
      </c>
      <c r="H846" s="70">
        <f t="shared" si="66"/>
        <v>500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3">
        <f t="shared" si="370"/>
        <v>87</v>
      </c>
      <c r="C847" s="13" t="str">
        <f t="shared" si="371"/>
        <v>medialunas SIN TACC</v>
      </c>
      <c r="D847" s="13" t="s">
        <v>499</v>
      </c>
      <c r="E847" s="13" t="str">
        <f>IFERROR(VLOOKUP($D847,Insumos!$B:$U,D$1,0),"")</f>
        <v>Grs</v>
      </c>
      <c r="F847" s="70">
        <v>25.0</v>
      </c>
      <c r="G847" s="70">
        <f>IFERROR(VLOOKUP($D847,Insumos!$B:$U,G$1,0)/VLOOKUP($D847,Insumos!$B:$U,F$1,0),"")</f>
        <v>8</v>
      </c>
      <c r="H847" s="70">
        <f t="shared" si="66"/>
        <v>200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3">
        <f t="shared" si="370"/>
        <v>87</v>
      </c>
      <c r="C848" s="13" t="str">
        <f t="shared" si="371"/>
        <v>medialunas SIN TACC</v>
      </c>
      <c r="D848" s="13" t="s">
        <v>513</v>
      </c>
      <c r="E848" s="13" t="str">
        <f>IFERROR(VLOOKUP($D848,Insumos!$B:$U,D$1,0),"")</f>
        <v>Cm3</v>
      </c>
      <c r="F848" s="70">
        <v>15.0</v>
      </c>
      <c r="G848" s="70">
        <f>IFERROR(VLOOKUP($D848,Insumos!$B:$U,G$1,0)/VLOOKUP($D848,Insumos!$B:$U,F$1,0),"")</f>
        <v>4.5</v>
      </c>
      <c r="H848" s="70">
        <f t="shared" si="66"/>
        <v>67.5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3">
        <f t="shared" si="370"/>
        <v>87</v>
      </c>
      <c r="C849" s="13" t="str">
        <f t="shared" si="371"/>
        <v>medialunas SIN TACC</v>
      </c>
      <c r="D849" s="13" t="s">
        <v>468</v>
      </c>
      <c r="E849" s="13" t="str">
        <f>IFERROR(VLOOKUP($D849,Insumos!$B:$U,D$1,0),"")</f>
        <v>Cm3</v>
      </c>
      <c r="F849" s="70">
        <v>10.0</v>
      </c>
      <c r="G849" s="70">
        <f>IFERROR(VLOOKUP($D849,Insumos!$B:$U,G$1,0)/VLOOKUP($D849,Insumos!$B:$U,F$1,0),"")</f>
        <v>1.52</v>
      </c>
      <c r="H849" s="70">
        <f t="shared" si="66"/>
        <v>15.2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81">
        <f t="shared" si="370"/>
        <v>87</v>
      </c>
      <c r="C850" s="81" t="str">
        <f t="shared" si="371"/>
        <v>medialunas SIN TACC</v>
      </c>
      <c r="D850" s="81" t="s">
        <v>505</v>
      </c>
      <c r="E850" s="81" t="str">
        <f>IFERROR(VLOOKUP($D850,Insumos!$B:$U,D$1,0),"")</f>
        <v>Grs</v>
      </c>
      <c r="F850" s="82">
        <v>50.0</v>
      </c>
      <c r="G850" s="82">
        <f>IFERROR(VLOOKUP($D850,Insumos!$B:$U,G$1,0)/VLOOKUP($D850,Insumos!$B:$U,F$1,0),"")</f>
        <v>11</v>
      </c>
      <c r="H850" s="82">
        <f t="shared" si="66"/>
        <v>550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3">
        <v>88.0</v>
      </c>
      <c r="C851" s="13" t="s">
        <v>687</v>
      </c>
      <c r="D851" s="13" t="s">
        <v>532</v>
      </c>
      <c r="E851" s="13" t="str">
        <f>IFERROR(VLOOKUP($D851,Insumos!$B:$U,D$1,0),"")</f>
        <v>Grs</v>
      </c>
      <c r="F851" s="70">
        <v>250.0</v>
      </c>
      <c r="G851" s="70">
        <f>IFERROR(VLOOKUP($D851,Insumos!$B:$U,G$1,0)/VLOOKUP($D851,Insumos!$B:$U,F$1,0),"")</f>
        <v>7</v>
      </c>
      <c r="H851" s="70">
        <f t="shared" si="66"/>
        <v>1750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3">
        <f t="shared" ref="B852:B854" si="372">IF($D851="","",B851)</f>
        <v>88</v>
      </c>
      <c r="C852" s="13" t="str">
        <f t="shared" ref="C852:C854" si="373">IF($D852="","",C851)</f>
        <v>Scons SIN TACC</v>
      </c>
      <c r="D852" s="13" t="s">
        <v>496</v>
      </c>
      <c r="E852" s="13" t="str">
        <f>IFERROR(VLOOKUP($D852,Insumos!$B:$U,D$1,0),"")</f>
        <v>Cm3</v>
      </c>
      <c r="F852" s="70">
        <v>25.0</v>
      </c>
      <c r="G852" s="70">
        <f>IFERROR(VLOOKUP($D852,Insumos!$B:$U,G$1,0)/VLOOKUP($D852,Insumos!$B:$U,F$1,0),"")</f>
        <v>2.1</v>
      </c>
      <c r="H852" s="70">
        <f t="shared" si="66"/>
        <v>52.5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3">
        <f t="shared" si="372"/>
        <v>88</v>
      </c>
      <c r="C853" s="13" t="str">
        <f t="shared" si="373"/>
        <v>Scons SIN TACC</v>
      </c>
      <c r="D853" s="13" t="s">
        <v>505</v>
      </c>
      <c r="E853" s="13" t="str">
        <f>IFERROR(VLOOKUP($D853,Insumos!$B:$U,D$1,0),"")</f>
        <v>Grs</v>
      </c>
      <c r="F853" s="70">
        <v>100.0</v>
      </c>
      <c r="G853" s="70">
        <f>IFERROR(VLOOKUP($D853,Insumos!$B:$U,G$1,0)/VLOOKUP($D853,Insumos!$B:$U,F$1,0),"")</f>
        <v>11</v>
      </c>
      <c r="H853" s="70">
        <f t="shared" si="66"/>
        <v>1100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81">
        <f t="shared" si="372"/>
        <v>88</v>
      </c>
      <c r="C854" s="81" t="str">
        <f t="shared" si="373"/>
        <v>Scons SIN TACC</v>
      </c>
      <c r="D854" s="81" t="s">
        <v>492</v>
      </c>
      <c r="E854" s="81" t="str">
        <f>IFERROR(VLOOKUP($D854,Insumos!$B:$U,D$1,0),"")</f>
        <v>Unidad</v>
      </c>
      <c r="F854" s="82">
        <v>2.0</v>
      </c>
      <c r="G854" s="82">
        <f>IFERROR(VLOOKUP($D854,Insumos!$B:$U,G$1,0)/VLOOKUP($D854,Insumos!$B:$U,F$1,0),"")</f>
        <v>166.6666667</v>
      </c>
      <c r="H854" s="82">
        <f t="shared" si="66"/>
        <v>333.3333333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3">
        <v>89.0</v>
      </c>
      <c r="C855" s="13" t="s">
        <v>688</v>
      </c>
      <c r="D855" s="13" t="s">
        <v>505</v>
      </c>
      <c r="E855" s="13" t="str">
        <f>IFERROR(VLOOKUP($D855,Insumos!$B:$U,D$1,0),"")</f>
        <v>Grs</v>
      </c>
      <c r="F855" s="70">
        <v>180.0</v>
      </c>
      <c r="G855" s="70">
        <f>IFERROR(VLOOKUP($D855,Insumos!$B:$U,G$1,0)/VLOOKUP($D855,Insumos!$B:$U,F$1,0),"")</f>
        <v>11</v>
      </c>
      <c r="H855" s="70">
        <f t="shared" si="66"/>
        <v>1980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3">
        <f t="shared" ref="B856:B860" si="374">IF($D855="","",B855)</f>
        <v>89</v>
      </c>
      <c r="C856" s="13" t="str">
        <f t="shared" ref="C856:C860" si="375">IF($D856="","",C855)</f>
        <v>BUDIN SIN TACC</v>
      </c>
      <c r="D856" s="13" t="s">
        <v>395</v>
      </c>
      <c r="E856" s="13" t="str">
        <f>IFERROR(VLOOKUP($D856,Insumos!$B:$U,D$1,0),"")</f>
        <v>Grs</v>
      </c>
      <c r="F856" s="70">
        <v>325.0</v>
      </c>
      <c r="G856" s="70">
        <f>IFERROR(VLOOKUP($D856,Insumos!$B:$U,G$1,0)/VLOOKUP($D856,Insumos!$B:$U,F$1,0),"")</f>
        <v>1.4</v>
      </c>
      <c r="H856" s="70">
        <f t="shared" si="66"/>
        <v>455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3">
        <f t="shared" si="374"/>
        <v>89</v>
      </c>
      <c r="C857" s="13" t="str">
        <f t="shared" si="375"/>
        <v>BUDIN SIN TACC</v>
      </c>
      <c r="D857" s="13" t="s">
        <v>532</v>
      </c>
      <c r="E857" s="13" t="str">
        <f>IFERROR(VLOOKUP($D857,Insumos!$B:$U,D$1,0),"")</f>
        <v>Grs</v>
      </c>
      <c r="F857" s="70">
        <v>360.0</v>
      </c>
      <c r="G857" s="70">
        <f>IFERROR(VLOOKUP($D857,Insumos!$B:$U,G$1,0)/VLOOKUP($D857,Insumos!$B:$U,F$1,0),"")</f>
        <v>7</v>
      </c>
      <c r="H857" s="70">
        <f t="shared" si="66"/>
        <v>2520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3">
        <f t="shared" si="374"/>
        <v>89</v>
      </c>
      <c r="C858" s="13" t="str">
        <f t="shared" si="375"/>
        <v>BUDIN SIN TACC</v>
      </c>
      <c r="D858" s="13" t="s">
        <v>454</v>
      </c>
      <c r="E858" s="13" t="str">
        <f>IFERROR(VLOOKUP($D858,Insumos!$B:$U,D$1,0),"")</f>
        <v>Grs</v>
      </c>
      <c r="F858" s="70">
        <v>50.0</v>
      </c>
      <c r="G858" s="70">
        <f>IFERROR(VLOOKUP($D858,Insumos!$B:$U,G$1,0)/VLOOKUP($D858,Insumos!$B:$U,F$1,0),"")</f>
        <v>10</v>
      </c>
      <c r="H858" s="70">
        <f t="shared" si="66"/>
        <v>500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3">
        <f t="shared" si="374"/>
        <v>89</v>
      </c>
      <c r="C859" s="13" t="str">
        <f t="shared" si="375"/>
        <v>BUDIN SIN TACC</v>
      </c>
      <c r="D859" s="13" t="s">
        <v>496</v>
      </c>
      <c r="E859" s="13" t="str">
        <f>IFERROR(VLOOKUP($D859,Insumos!$B:$U,D$1,0),"")</f>
        <v>Cm3</v>
      </c>
      <c r="F859" s="70">
        <v>250.0</v>
      </c>
      <c r="G859" s="70">
        <f>IFERROR(VLOOKUP($D859,Insumos!$B:$U,G$1,0)/VLOOKUP($D859,Insumos!$B:$U,F$1,0),"")</f>
        <v>2.1</v>
      </c>
      <c r="H859" s="70">
        <f t="shared" si="66"/>
        <v>525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81">
        <f t="shared" si="374"/>
        <v>89</v>
      </c>
      <c r="C860" s="81" t="str">
        <f t="shared" si="375"/>
        <v>BUDIN SIN TACC</v>
      </c>
      <c r="D860" s="81" t="s">
        <v>397</v>
      </c>
      <c r="E860" s="81" t="str">
        <f>IFERROR(VLOOKUP($D860,Insumos!$B:$U,D$1,0),"")</f>
        <v>Grs</v>
      </c>
      <c r="F860" s="82">
        <v>80.0</v>
      </c>
      <c r="G860" s="82">
        <f>IFERROR(VLOOKUP($D860,Insumos!$B:$U,G$1,0)/VLOOKUP($D860,Insumos!$B:$U,F$1,0),"")</f>
        <v>1.5</v>
      </c>
      <c r="H860" s="82">
        <f t="shared" si="66"/>
        <v>120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3">
        <v>90.0</v>
      </c>
      <c r="C861" s="13" t="s">
        <v>689</v>
      </c>
      <c r="D861" s="13" t="s">
        <v>492</v>
      </c>
      <c r="E861" s="13" t="str">
        <f>IFERROR(VLOOKUP($D861,Insumos!$B:$U,D$1,0),"")</f>
        <v>Unidad</v>
      </c>
      <c r="F861" s="70">
        <v>3.0</v>
      </c>
      <c r="G861" s="70">
        <f>IFERROR(VLOOKUP($D861,Insumos!$B:$U,G$1,0)/VLOOKUP($D861,Insumos!$B:$U,F$1,0),"")</f>
        <v>166.6666667</v>
      </c>
      <c r="H861" s="70">
        <f t="shared" si="66"/>
        <v>500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3">
        <f t="shared" ref="B862:B866" si="376">IF($D861="","",B861)</f>
        <v>90</v>
      </c>
      <c r="C862" s="13" t="str">
        <f t="shared" ref="C862:C866" si="377">IF($D862="","",C861)</f>
        <v>CARROT CAKE SIN TACC</v>
      </c>
      <c r="D862" s="13" t="s">
        <v>388</v>
      </c>
      <c r="E862" s="13" t="str">
        <f>IFERROR(VLOOKUP($D862,Insumos!$B:$U,D$1,0),"")</f>
        <v>Cm3</v>
      </c>
      <c r="F862" s="70">
        <v>150.0</v>
      </c>
      <c r="G862" s="70">
        <f>IFERROR(VLOOKUP($D862,Insumos!$B:$U,G$1,0)/VLOOKUP($D862,Insumos!$B:$U,F$1,0),"")</f>
        <v>1.285714286</v>
      </c>
      <c r="H862" s="70">
        <f t="shared" si="66"/>
        <v>192.8571429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3">
        <f t="shared" si="376"/>
        <v>90</v>
      </c>
      <c r="C863" s="13" t="str">
        <f t="shared" si="377"/>
        <v>CARROT CAKE SIN TACC</v>
      </c>
      <c r="D863" s="13" t="s">
        <v>395</v>
      </c>
      <c r="E863" s="13" t="str">
        <f>IFERROR(VLOOKUP($D863,Insumos!$B:$U,D$1,0),"")</f>
        <v>Grs</v>
      </c>
      <c r="F863" s="70">
        <v>200.0</v>
      </c>
      <c r="G863" s="70">
        <f>IFERROR(VLOOKUP($D863,Insumos!$B:$U,G$1,0)/VLOOKUP($D863,Insumos!$B:$U,F$1,0),"")</f>
        <v>1.4</v>
      </c>
      <c r="H863" s="70">
        <f t="shared" si="66"/>
        <v>280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3">
        <f t="shared" si="376"/>
        <v>90</v>
      </c>
      <c r="C864" s="13" t="str">
        <f t="shared" si="377"/>
        <v>CARROT CAKE SIN TACC</v>
      </c>
      <c r="D864" s="13" t="s">
        <v>532</v>
      </c>
      <c r="E864" s="13" t="str">
        <f>IFERROR(VLOOKUP($D864,Insumos!$B:$U,D$1,0),"")</f>
        <v>Grs</v>
      </c>
      <c r="F864" s="70">
        <v>260.0</v>
      </c>
      <c r="G864" s="70">
        <f>IFERROR(VLOOKUP($D864,Insumos!$B:$U,G$1,0)/VLOOKUP($D864,Insumos!$B:$U,F$1,0),"")</f>
        <v>7</v>
      </c>
      <c r="H864" s="70">
        <f t="shared" si="66"/>
        <v>1820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3">
        <f t="shared" si="376"/>
        <v>90</v>
      </c>
      <c r="C865" s="13" t="str">
        <f t="shared" si="377"/>
        <v>CARROT CAKE SIN TACC</v>
      </c>
      <c r="D865" s="13" t="s">
        <v>528</v>
      </c>
      <c r="E865" s="13" t="str">
        <f>IFERROR(VLOOKUP($D865,Insumos!$B:$U,D$1,0),"")</f>
        <v>Grs</v>
      </c>
      <c r="F865" s="70">
        <v>15.0</v>
      </c>
      <c r="G865" s="70">
        <f>IFERROR(VLOOKUP($D865,Insumos!$B:$U,G$1,0)/VLOOKUP($D865,Insumos!$B:$U,F$1,0),"")</f>
        <v>8</v>
      </c>
      <c r="H865" s="70">
        <f t="shared" si="66"/>
        <v>120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81">
        <f t="shared" si="376"/>
        <v>90</v>
      </c>
      <c r="C866" s="81" t="str">
        <f t="shared" si="377"/>
        <v>CARROT CAKE SIN TACC</v>
      </c>
      <c r="D866" s="81" t="s">
        <v>516</v>
      </c>
      <c r="E866" s="81" t="str">
        <f>IFERROR(VLOOKUP($D866,Insumos!$B:$U,D$1,0),"")</f>
        <v>Grs</v>
      </c>
      <c r="F866" s="82">
        <v>100.0</v>
      </c>
      <c r="G866" s="82">
        <f>IFERROR(VLOOKUP($D866,Insumos!$B:$U,G$1,0)/VLOOKUP($D866,Insumos!$B:$U,F$1,0),"")</f>
        <v>19</v>
      </c>
      <c r="H866" s="82">
        <f t="shared" si="66"/>
        <v>1900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3">
        <v>91.0</v>
      </c>
      <c r="C867" s="13" t="s">
        <v>690</v>
      </c>
      <c r="D867" s="13" t="s">
        <v>532</v>
      </c>
      <c r="E867" s="13" t="str">
        <f>IFERROR(VLOOKUP($D867,Insumos!$B:$U,D$1,0),"")</f>
        <v>Grs</v>
      </c>
      <c r="F867" s="70">
        <v>300.0</v>
      </c>
      <c r="G867" s="70">
        <f>IFERROR(VLOOKUP($D867,Insumos!$B:$U,G$1,0)/VLOOKUP($D867,Insumos!$B:$U,F$1,0),"")</f>
        <v>7</v>
      </c>
      <c r="H867" s="70">
        <f t="shared" si="66"/>
        <v>2100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3">
        <f t="shared" ref="B868:B872" si="378">IF($D867="","",B867)</f>
        <v>91</v>
      </c>
      <c r="C868" s="13" t="str">
        <f t="shared" ref="C868:C872" si="379">IF($D868="","",C867)</f>
        <v>TARTA DE MANZANA SIN TACC</v>
      </c>
      <c r="D868" s="13" t="s">
        <v>492</v>
      </c>
      <c r="E868" s="13" t="str">
        <f>IFERROR(VLOOKUP($D868,Insumos!$B:$U,D$1,0),"")</f>
        <v>Unidad</v>
      </c>
      <c r="F868" s="70">
        <v>1.0</v>
      </c>
      <c r="G868" s="70">
        <f>IFERROR(VLOOKUP($D868,Insumos!$B:$U,G$1,0)/VLOOKUP($D868,Insumos!$B:$U,F$1,0),"")</f>
        <v>166.6666667</v>
      </c>
      <c r="H868" s="70">
        <f t="shared" si="66"/>
        <v>166.6666667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3">
        <f t="shared" si="378"/>
        <v>91</v>
      </c>
      <c r="C869" s="13" t="str">
        <f t="shared" si="379"/>
        <v>TARTA DE MANZANA SIN TACC</v>
      </c>
      <c r="D869" s="13" t="s">
        <v>395</v>
      </c>
      <c r="E869" s="13" t="str">
        <f>IFERROR(VLOOKUP($D869,Insumos!$B:$U,D$1,0),"")</f>
        <v>Grs</v>
      </c>
      <c r="F869" s="70">
        <f>75+80+100</f>
        <v>255</v>
      </c>
      <c r="G869" s="70">
        <f>IFERROR(VLOOKUP($D869,Insumos!$B:$U,G$1,0)/VLOOKUP($D869,Insumos!$B:$U,F$1,0),"")</f>
        <v>1.4</v>
      </c>
      <c r="H869" s="70">
        <f t="shared" si="66"/>
        <v>357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3">
        <f t="shared" si="378"/>
        <v>91</v>
      </c>
      <c r="C870" s="13" t="str">
        <f t="shared" si="379"/>
        <v>TARTA DE MANZANA SIN TACC</v>
      </c>
      <c r="D870" s="13" t="s">
        <v>505</v>
      </c>
      <c r="E870" s="13" t="str">
        <f>IFERROR(VLOOKUP($D870,Insumos!$B:$U,D$1,0),"")</f>
        <v>Grs</v>
      </c>
      <c r="F870" s="70">
        <f>50+80+100</f>
        <v>230</v>
      </c>
      <c r="G870" s="70">
        <f>IFERROR(VLOOKUP($D870,Insumos!$B:$U,G$1,0)/VLOOKUP($D870,Insumos!$B:$U,F$1,0),"")</f>
        <v>11</v>
      </c>
      <c r="H870" s="70">
        <f t="shared" si="66"/>
        <v>2530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3">
        <f t="shared" si="378"/>
        <v>91</v>
      </c>
      <c r="C871" s="113" t="str">
        <f t="shared" si="379"/>
        <v>TARTA DE MANZANA SIN TACC</v>
      </c>
      <c r="D871" s="13" t="s">
        <v>468</v>
      </c>
      <c r="E871" s="13" t="str">
        <f>IFERROR(VLOOKUP($D871,Insumos!$B:$U,D$1,0),"")</f>
        <v>Cm3</v>
      </c>
      <c r="F871" s="70">
        <v>5.0</v>
      </c>
      <c r="G871" s="70">
        <f>IFERROR(VLOOKUP($D871,Insumos!$B:$U,G$1,0)/VLOOKUP($D871,Insumos!$B:$U,F$1,0),"")</f>
        <v>1.52</v>
      </c>
      <c r="H871" s="70">
        <f t="shared" si="66"/>
        <v>7.6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81">
        <f t="shared" si="378"/>
        <v>91</v>
      </c>
      <c r="C872" s="81" t="str">
        <f t="shared" si="379"/>
        <v>TARTA DE MANZANA SIN TACC</v>
      </c>
      <c r="D872" s="81" t="s">
        <v>506</v>
      </c>
      <c r="E872" s="81" t="str">
        <f>IFERROR(VLOOKUP($D872,Insumos!$B:$U,D$1,0),"")</f>
        <v>Grs</v>
      </c>
      <c r="F872" s="82">
        <v>3.0</v>
      </c>
      <c r="G872" s="82">
        <f>IFERROR(VLOOKUP($D872,Insumos!$B:$U,G$1,0)/VLOOKUP($D872,Insumos!$B:$U,F$1,0),"")</f>
        <v>0.8</v>
      </c>
      <c r="H872" s="82">
        <f t="shared" si="66"/>
        <v>2.4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3">
        <v>92.0</v>
      </c>
      <c r="C873" s="13" t="s">
        <v>691</v>
      </c>
      <c r="D873" s="66" t="s">
        <v>505</v>
      </c>
      <c r="E873" s="13" t="str">
        <f>IFERROR(VLOOKUP($D873,Insumos!$B:$U,D$1,0),"")</f>
        <v>Grs</v>
      </c>
      <c r="F873" s="70">
        <f t="shared" ref="F873:F876" si="380">F3</f>
        <v>200</v>
      </c>
      <c r="G873" s="70">
        <f>IFERROR(VLOOKUP($D873,Insumos!$B:$U,G$1,0)/VLOOKUP($D873,Insumos!$B:$U,F$1,0),"")</f>
        <v>11</v>
      </c>
      <c r="H873" s="70">
        <f t="shared" si="66"/>
        <v>2200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3">
        <f t="shared" ref="B874:B879" si="381">IF($D873="","",B873)</f>
        <v>92</v>
      </c>
      <c r="C874" s="13" t="str">
        <f t="shared" ref="C874:C879" si="382">IF($D874="","",C873)</f>
        <v>Mini budin x8 unidades</v>
      </c>
      <c r="D874" s="13" t="s">
        <v>395</v>
      </c>
      <c r="E874" s="13" t="str">
        <f>IFERROR(VLOOKUP($D874,Insumos!$B:$U,D$1,0),"")</f>
        <v>Grs</v>
      </c>
      <c r="F874" s="70">
        <f t="shared" si="380"/>
        <v>200</v>
      </c>
      <c r="G874" s="70">
        <f>IFERROR(VLOOKUP($D874,Insumos!$B:$U,G$1,0)/VLOOKUP($D874,Insumos!$B:$U,F$1,0),"")</f>
        <v>1.4</v>
      </c>
      <c r="H874" s="70">
        <f t="shared" si="66"/>
        <v>280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3">
        <f t="shared" si="381"/>
        <v>92</v>
      </c>
      <c r="C875" s="13" t="str">
        <f t="shared" si="382"/>
        <v>Mini budin x8 unidades</v>
      </c>
      <c r="D875" s="13" t="s">
        <v>492</v>
      </c>
      <c r="E875" s="13" t="str">
        <f>IFERROR(VLOOKUP($D875,Insumos!$B:$U,D$1,0),"")</f>
        <v>Unidad</v>
      </c>
      <c r="F875" s="70">
        <f t="shared" si="380"/>
        <v>4</v>
      </c>
      <c r="G875" s="70">
        <f>IFERROR(VLOOKUP($D875,Insumos!$B:$U,G$1,0)/VLOOKUP($D875,Insumos!$B:$U,F$1,0),"")</f>
        <v>166.6666667</v>
      </c>
      <c r="H875" s="70">
        <f t="shared" si="66"/>
        <v>666.6666667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3">
        <f t="shared" si="381"/>
        <v>92</v>
      </c>
      <c r="C876" s="13" t="str">
        <f t="shared" si="382"/>
        <v>Mini budin x8 unidades</v>
      </c>
      <c r="D876" s="13" t="s">
        <v>491</v>
      </c>
      <c r="E876" s="13" t="str">
        <f>IFERROR(VLOOKUP($D876,Insumos!$B:$U,D$1,0),"")</f>
        <v>Grs</v>
      </c>
      <c r="F876" s="70">
        <f t="shared" si="380"/>
        <v>270</v>
      </c>
      <c r="G876" s="70">
        <f>IFERROR(VLOOKUP($D876,Insumos!$B:$U,G$1,0)/VLOOKUP($D876,Insumos!$B:$U,F$1,0),"")</f>
        <v>1.5</v>
      </c>
      <c r="H876" s="70">
        <f t="shared" si="66"/>
        <v>405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3">
        <f t="shared" si="381"/>
        <v>92</v>
      </c>
      <c r="C877" s="13" t="str">
        <f t="shared" si="382"/>
        <v>Mini budin x8 unidades</v>
      </c>
      <c r="D877" s="13" t="s">
        <v>500</v>
      </c>
      <c r="E877" s="13" t="str">
        <f>IFERROR(VLOOKUP($D877,Insumos!$B:$U,D$1,0),"")</f>
        <v>Unidad</v>
      </c>
      <c r="F877" s="70">
        <f>F8</f>
        <v>2</v>
      </c>
      <c r="G877" s="70">
        <f>IFERROR(VLOOKUP($D877,Insumos!$B:$U,G$1,0)/VLOOKUP($D877,Insumos!$B:$U,F$1,0),"")</f>
        <v>180</v>
      </c>
      <c r="H877" s="70">
        <f t="shared" si="66"/>
        <v>360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3">
        <f t="shared" si="381"/>
        <v>92</v>
      </c>
      <c r="C878" s="13" t="str">
        <f t="shared" si="382"/>
        <v>Mini budin x8 unidades</v>
      </c>
      <c r="D878" s="13" t="s">
        <v>421</v>
      </c>
      <c r="E878" s="13" t="str">
        <f>IFERROR(VLOOKUP($D878,Insumos!$B:$U,D$1,0),"")</f>
        <v>Unidad</v>
      </c>
      <c r="F878" s="70">
        <f t="shared" ref="F878:F879" si="383">F10</f>
        <v>1</v>
      </c>
      <c r="G878" s="70">
        <f>IFERROR(VLOOKUP($D878,Insumos!$B:$U,G$1,0)/VLOOKUP($D878,Insumos!$B:$U,F$1,0),"")</f>
        <v>40</v>
      </c>
      <c r="H878" s="70">
        <f t="shared" si="66"/>
        <v>40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81">
        <f t="shared" si="381"/>
        <v>92</v>
      </c>
      <c r="C879" s="81" t="str">
        <f t="shared" si="382"/>
        <v>Mini budin x8 unidades</v>
      </c>
      <c r="D879" s="81" t="s">
        <v>397</v>
      </c>
      <c r="E879" s="81" t="str">
        <f>IFERROR(VLOOKUP($D879,Insumos!$B:$U,D$1,0),"")</f>
        <v>Grs</v>
      </c>
      <c r="F879" s="82">
        <f t="shared" si="383"/>
        <v>250</v>
      </c>
      <c r="G879" s="82">
        <f>IFERROR(VLOOKUP($D879,Insumos!$B:$U,G$1,0)/VLOOKUP($D879,Insumos!$B:$U,F$1,0),"")</f>
        <v>1.5</v>
      </c>
      <c r="H879" s="82">
        <f t="shared" si="66"/>
        <v>375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66">
        <v>93.0</v>
      </c>
      <c r="C880" s="66" t="s">
        <v>692</v>
      </c>
      <c r="D880" s="66" t="s">
        <v>454</v>
      </c>
      <c r="E880" s="66" t="str">
        <f>IFERROR(VLOOKUP($D880,Insumos!$B:$U,D$1,0),"")</f>
        <v>Grs</v>
      </c>
      <c r="F880" s="67">
        <v>1500.0</v>
      </c>
      <c r="G880" s="67">
        <f>IFERROR(VLOOKUP($D880,Insumos!$B:$U,G$1,0)/VLOOKUP($D880,Insumos!$B:$U,F$1,0),"")</f>
        <v>10</v>
      </c>
      <c r="H880" s="67">
        <f t="shared" si="66"/>
        <v>15000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3">
        <f>IF($D880="","",B880)</f>
        <v>93</v>
      </c>
      <c r="C881" s="13" t="str">
        <f t="shared" ref="C881:C882" si="384">IF($D881="","",C880)</f>
        <v>Torta piñata</v>
      </c>
      <c r="D881" s="13" t="s">
        <v>485</v>
      </c>
      <c r="E881" s="13" t="str">
        <f>IFERROR(VLOOKUP($D881,Insumos!$B:$U,D$1,0),"")</f>
        <v>Grs</v>
      </c>
      <c r="F881" s="70">
        <v>900.0</v>
      </c>
      <c r="G881" s="70">
        <f>IFERROR(VLOOKUP($D881,Insumos!$B:$U,G$1,0)/VLOOKUP($D881,Insumos!$B:$U,F$1,0),"")</f>
        <v>4</v>
      </c>
      <c r="H881" s="70">
        <f t="shared" si="66"/>
        <v>3600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81">
        <v>93.0</v>
      </c>
      <c r="C882" s="81" t="str">
        <f t="shared" si="384"/>
        <v>Torta piñata</v>
      </c>
      <c r="D882" s="81" t="s">
        <v>401</v>
      </c>
      <c r="E882" s="81" t="str">
        <f>IFERROR(VLOOKUP($D882,Insumos!$B:$U,D$1,0),"")</f>
        <v>Unidad</v>
      </c>
      <c r="F882" s="82">
        <v>1.0</v>
      </c>
      <c r="G882" s="82">
        <f>IFERROR(VLOOKUP($D882,Insumos!$B:$U,G$1,0)/VLOOKUP($D882,Insumos!$B:$U,F$1,0),"")</f>
        <v>1300</v>
      </c>
      <c r="H882" s="82">
        <f t="shared" si="66"/>
        <v>1300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3">
        <v>94.0</v>
      </c>
      <c r="C883" s="13" t="s">
        <v>693</v>
      </c>
      <c r="D883" s="66" t="str">
        <f t="shared" ref="D883:D890" si="385">D555</f>
        <v>Huevo</v>
      </c>
      <c r="E883" s="66" t="str">
        <f>IFERROR(VLOOKUP($D883,Insumos!$B:$U,D$1,0),"")</f>
        <v>Unidad</v>
      </c>
      <c r="F883" s="67">
        <f t="shared" ref="F883:F888" si="386">F555/4*5</f>
        <v>7.5</v>
      </c>
      <c r="G883" s="67">
        <f>IFERROR(VLOOKUP($D883,Insumos!$B:$U,G$1,0)/VLOOKUP($D883,Insumos!$B:$U,F$1,0),"")</f>
        <v>166.6666667</v>
      </c>
      <c r="H883" s="67">
        <f t="shared" si="66"/>
        <v>1250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3">
        <f t="shared" ref="B884:B892" si="387">IF($D883="","",B883)</f>
        <v>94</v>
      </c>
      <c r="C884" s="13" t="str">
        <f t="shared" ref="C884:C892" si="388">IF($D884="","",C883)</f>
        <v>Balcarse 20 cm </v>
      </c>
      <c r="D884" s="13" t="str">
        <f t="shared" si="385"/>
        <v>azúcar</v>
      </c>
      <c r="E884" s="13" t="str">
        <f>IFERROR(VLOOKUP($D884,Insumos!$B:$U,D$1,0),"")</f>
        <v>Grs</v>
      </c>
      <c r="F884" s="70">
        <f t="shared" si="386"/>
        <v>187.5</v>
      </c>
      <c r="G884" s="70">
        <f>IFERROR(VLOOKUP($D884,Insumos!$B:$U,G$1,0)/VLOOKUP($D884,Insumos!$B:$U,F$1,0),"")</f>
        <v>1.4</v>
      </c>
      <c r="H884" s="70">
        <f t="shared" si="66"/>
        <v>262.5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3">
        <f t="shared" si="387"/>
        <v>94</v>
      </c>
      <c r="C885" s="13" t="str">
        <f t="shared" si="388"/>
        <v>Balcarse 20 cm </v>
      </c>
      <c r="D885" s="13" t="str">
        <f t="shared" si="385"/>
        <v>Esencia de vainilla</v>
      </c>
      <c r="E885" s="13" t="str">
        <f>IFERROR(VLOOKUP($D885,Insumos!$B:$U,D$1,0),"")</f>
        <v>Cm3</v>
      </c>
      <c r="F885" s="70">
        <f t="shared" si="386"/>
        <v>15</v>
      </c>
      <c r="G885" s="70">
        <f>IFERROR(VLOOKUP($D885,Insumos!$B:$U,G$1,0)/VLOOKUP($D885,Insumos!$B:$U,F$1,0),"")</f>
        <v>1.52</v>
      </c>
      <c r="H885" s="70">
        <f t="shared" si="66"/>
        <v>22.8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3">
        <f t="shared" si="387"/>
        <v>94</v>
      </c>
      <c r="C886" s="13" t="str">
        <f t="shared" si="388"/>
        <v>Balcarse 20 cm </v>
      </c>
      <c r="D886" s="13" t="str">
        <f t="shared" si="385"/>
        <v>Harina leudante</v>
      </c>
      <c r="E886" s="13" t="str">
        <f>IFERROR(VLOOKUP($D886,Insumos!$B:$U,D$1,0),"")</f>
        <v>Grs</v>
      </c>
      <c r="F886" s="70">
        <f t="shared" si="386"/>
        <v>187.5</v>
      </c>
      <c r="G886" s="70">
        <f>IFERROR(VLOOKUP($D886,Insumos!$B:$U,G$1,0)/VLOOKUP($D886,Insumos!$B:$U,F$1,0),"")</f>
        <v>1.5</v>
      </c>
      <c r="H886" s="70">
        <f t="shared" si="66"/>
        <v>281.25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3">
        <f t="shared" si="387"/>
        <v>94</v>
      </c>
      <c r="C887" s="13" t="str">
        <f t="shared" si="388"/>
        <v>Balcarse 20 cm </v>
      </c>
      <c r="D887" s="13" t="str">
        <f t="shared" si="385"/>
        <v>dulce de leche</v>
      </c>
      <c r="E887" s="13" t="str">
        <f>IFERROR(VLOOKUP($D887,Insumos!$B:$U,D$1,0),"")</f>
        <v>Grs</v>
      </c>
      <c r="F887" s="70">
        <f t="shared" si="386"/>
        <v>250</v>
      </c>
      <c r="G887" s="70">
        <f>IFERROR(VLOOKUP($D887,Insumos!$B:$U,G$1,0)/VLOOKUP($D887,Insumos!$B:$U,F$1,0),"")</f>
        <v>3.4</v>
      </c>
      <c r="H887" s="70">
        <f t="shared" si="66"/>
        <v>850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3">
        <f t="shared" si="387"/>
        <v>94</v>
      </c>
      <c r="C888" s="13" t="str">
        <f t="shared" si="388"/>
        <v>Balcarse 20 cm </v>
      </c>
      <c r="D888" s="13" t="str">
        <f t="shared" si="385"/>
        <v>crema de leche</v>
      </c>
      <c r="E888" s="13" t="str">
        <f>IFERROR(VLOOKUP($D888,Insumos!$B:$U,D$1,0),"")</f>
        <v>Grs</v>
      </c>
      <c r="F888" s="70">
        <f t="shared" si="386"/>
        <v>250</v>
      </c>
      <c r="G888" s="70">
        <f>IFERROR(VLOOKUP($D888,Insumos!$B:$U,G$1,0)/VLOOKUP($D888,Insumos!$B:$U,F$1,0),"")</f>
        <v>9.2</v>
      </c>
      <c r="H888" s="70">
        <f t="shared" si="66"/>
        <v>2300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3">
        <f t="shared" si="387"/>
        <v>94</v>
      </c>
      <c r="C889" s="13" t="str">
        <f t="shared" si="388"/>
        <v>Balcarse 20 cm </v>
      </c>
      <c r="D889" s="13" t="str">
        <f t="shared" si="385"/>
        <v>lata de durazno</v>
      </c>
      <c r="E889" s="13" t="str">
        <f>IFERROR(VLOOKUP($D889,Insumos!$B:$U,D$1,0),"")</f>
        <v>Unidad</v>
      </c>
      <c r="F889" s="70">
        <v>1.0</v>
      </c>
      <c r="G889" s="70">
        <f>IFERROR(VLOOKUP($D889,Insumos!$B:$U,G$1,0)/VLOOKUP($D889,Insumos!$B:$U,F$1,0),"")</f>
        <v>2000</v>
      </c>
      <c r="H889" s="70">
        <f t="shared" si="66"/>
        <v>2000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3">
        <f t="shared" si="387"/>
        <v>94</v>
      </c>
      <c r="C890" s="13" t="str">
        <f t="shared" si="388"/>
        <v>Balcarse 20 cm </v>
      </c>
      <c r="D890" s="13" t="str">
        <f t="shared" si="385"/>
        <v>Bandeja redonda 24cm rigida</v>
      </c>
      <c r="E890" s="13" t="str">
        <f>IFERROR(VLOOKUP($D890,Insumos!$B:$U,D$1,0),"")</f>
        <v>Unidad</v>
      </c>
      <c r="F890" s="70">
        <v>1.0</v>
      </c>
      <c r="G890" s="70">
        <f>IFERROR(VLOOKUP($D890,Insumos!$B:$U,G$1,0)/VLOOKUP($D890,Insumos!$B:$U,F$1,0),"")</f>
        <v>1300</v>
      </c>
      <c r="H890" s="70">
        <f t="shared" si="66"/>
        <v>1300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3">
        <f t="shared" si="387"/>
        <v>94</v>
      </c>
      <c r="C891" s="13" t="str">
        <f t="shared" si="388"/>
        <v>Balcarse 20 cm </v>
      </c>
      <c r="D891" s="13" t="s">
        <v>426</v>
      </c>
      <c r="E891" s="13" t="str">
        <f>IFERROR(VLOOKUP($D891,Insumos!$B:$U,D$1,0),"")</f>
        <v>Unidad</v>
      </c>
      <c r="F891" s="70">
        <v>1.0</v>
      </c>
      <c r="G891" s="70">
        <f>IFERROR(VLOOKUP($D891,Insumos!$B:$U,G$1,0)/VLOOKUP($D891,Insumos!$B:$U,F$1,0),"")</f>
        <v>975</v>
      </c>
      <c r="H891" s="70">
        <f t="shared" si="66"/>
        <v>975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81">
        <f t="shared" si="387"/>
        <v>94</v>
      </c>
      <c r="C892" s="81" t="str">
        <f t="shared" si="388"/>
        <v>Balcarse 20 cm </v>
      </c>
      <c r="D892" s="81" t="str">
        <f>D564</f>
        <v>merenguitos </v>
      </c>
      <c r="E892" s="81" t="str">
        <f>IFERROR(VLOOKUP($D892,Insumos!$B:$U,D$1,0),"")</f>
        <v>Grs</v>
      </c>
      <c r="F892" s="82">
        <f>F564/4*5</f>
        <v>375</v>
      </c>
      <c r="G892" s="82">
        <f>IFERROR(VLOOKUP($D892,Insumos!$B:$U,G$1,0)/VLOOKUP($D892,Insumos!$B:$U,F$1,0),"")</f>
        <v>23</v>
      </c>
      <c r="H892" s="82">
        <f t="shared" si="66"/>
        <v>8625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3">
        <v>95.0</v>
      </c>
      <c r="C893" s="13" t="s">
        <v>694</v>
      </c>
      <c r="D893" s="13" t="s">
        <v>519</v>
      </c>
      <c r="E893" s="13" t="str">
        <f>IFERROR(VLOOKUP($D893,Insumos!$B:$U,D$1,0),"")</f>
        <v>Grs</v>
      </c>
      <c r="F893" s="70">
        <v>117.0</v>
      </c>
      <c r="G893" s="70">
        <f>IFERROR(VLOOKUP($D893,Insumos!$B:$U,G$1,0)/VLOOKUP($D893,Insumos!$B:$U,F$1,0),"")</f>
        <v>14.52991453</v>
      </c>
      <c r="H893" s="70">
        <f t="shared" si="66"/>
        <v>1700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3">
        <f t="shared" ref="B894:B895" si="389">IF($D893="","",B893)</f>
        <v>95</v>
      </c>
      <c r="C894" s="13" t="str">
        <f t="shared" ref="C894:C895" si="390">IF($D894="","",C893)</f>
        <v>Oreos Bañadas con deco </v>
      </c>
      <c r="D894" s="13" t="s">
        <v>454</v>
      </c>
      <c r="E894" s="13" t="str">
        <f>IFERROR(VLOOKUP($D894,Insumos!$B:$U,D$1,0),"")</f>
        <v>Grs</v>
      </c>
      <c r="F894" s="70">
        <v>500.0</v>
      </c>
      <c r="G894" s="70">
        <f>IFERROR(VLOOKUP($D894,Insumos!$B:$U,G$1,0)/VLOOKUP($D894,Insumos!$B:$U,F$1,0),"")</f>
        <v>10</v>
      </c>
      <c r="H894" s="70">
        <f t="shared" si="66"/>
        <v>5000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81">
        <f t="shared" si="389"/>
        <v>95</v>
      </c>
      <c r="C895" s="81" t="str">
        <f t="shared" si="390"/>
        <v>Oreos Bañadas con deco </v>
      </c>
      <c r="D895" s="81" t="s">
        <v>525</v>
      </c>
      <c r="E895" s="81" t="str">
        <f>IFERROR(VLOOKUP($D895,Insumos!$B:$U,D$1,0),"")</f>
        <v>Grs</v>
      </c>
      <c r="F895" s="82">
        <v>100.0</v>
      </c>
      <c r="G895" s="82">
        <f>IFERROR(VLOOKUP($D895,Insumos!$B:$U,G$1,0)/VLOOKUP($D895,Insumos!$B:$U,F$1,0),"")</f>
        <v>9.6</v>
      </c>
      <c r="H895" s="82">
        <f t="shared" si="66"/>
        <v>960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3">
        <v>96.0</v>
      </c>
      <c r="C896" s="13" t="s">
        <v>695</v>
      </c>
      <c r="D896" s="13" t="s">
        <v>455</v>
      </c>
      <c r="E896" s="13" t="str">
        <f>IFERROR(VLOOKUP($D896,Insumos!$B:$U,D$1,0),"")</f>
        <v>Grs</v>
      </c>
      <c r="F896" s="70">
        <f>(270*3)</f>
        <v>810</v>
      </c>
      <c r="G896" s="70">
        <f>IFERROR(VLOOKUP($D896,Insumos!$B:$U,G$1,0)/VLOOKUP($D896,Insumos!$B:$U,F$1,0),"")</f>
        <v>7.6</v>
      </c>
      <c r="H896" s="70">
        <f t="shared" si="66"/>
        <v>6156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3">
        <v>96.0</v>
      </c>
      <c r="C897" s="13" t="str">
        <f t="shared" ref="C897:C899" si="391">IF($D897="","",C896)</f>
        <v>Chocotorta rectangular 20x30 cm</v>
      </c>
      <c r="D897" s="13" t="s">
        <v>533</v>
      </c>
      <c r="E897" s="13" t="str">
        <f>IFERROR(VLOOKUP($D897,Insumos!$B:$U,D$1,0),"")</f>
        <v>Grs</v>
      </c>
      <c r="F897" s="70">
        <v>1500.0</v>
      </c>
      <c r="G897" s="70">
        <f>IFERROR(VLOOKUP($D897,Insumos!$B:$U,G$1,0)/VLOOKUP($D897,Insumos!$B:$U,F$1,0),"")</f>
        <v>7.428571429</v>
      </c>
      <c r="H897" s="70">
        <f t="shared" si="66"/>
        <v>11142.85714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3">
        <f t="shared" ref="B898:B899" si="392">IF($D897="","",B897)</f>
        <v>96</v>
      </c>
      <c r="C898" s="13" t="str">
        <f t="shared" si="391"/>
        <v>Chocotorta rectangular 20x30 cm</v>
      </c>
      <c r="D898" s="13" t="s">
        <v>630</v>
      </c>
      <c r="E898" s="13" t="str">
        <f>IFERROR(VLOOKUP($D898,Insumos!$B:$U,D$1,0),"")</f>
        <v>Grs</v>
      </c>
      <c r="F898" s="70">
        <v>1500.0</v>
      </c>
      <c r="G898" s="70">
        <f>IFERROR(VLOOKUP($D898,Insumos!$B:$U,G$1,0)/VLOOKUP($D898,Insumos!$B:$U,F$1,0),"")</f>
        <v>3.4</v>
      </c>
      <c r="H898" s="70">
        <f t="shared" si="66"/>
        <v>5100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81">
        <f t="shared" si="392"/>
        <v>96</v>
      </c>
      <c r="C899" s="81" t="str">
        <f t="shared" si="391"/>
        <v>Chocotorta rectangular 20x30 cm</v>
      </c>
      <c r="D899" s="81" t="s">
        <v>486</v>
      </c>
      <c r="E899" s="81" t="str">
        <f>IFERROR(VLOOKUP($D899,Insumos!$B:$U,D$1,0),"")</f>
        <v>Grs</v>
      </c>
      <c r="F899" s="82">
        <v>100.0</v>
      </c>
      <c r="G899" s="114">
        <f>IFERROR(VLOOKUP($D899,Insumos!$B:$U,G$1,0)/VLOOKUP($D899,Insumos!$B:$U,F$1,0),"")</f>
        <v>7</v>
      </c>
      <c r="H899" s="82">
        <f t="shared" si="66"/>
        <v>700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3">
        <v>97.0</v>
      </c>
      <c r="C900" s="13" t="s">
        <v>696</v>
      </c>
      <c r="D900" s="13" t="s">
        <v>489</v>
      </c>
      <c r="E900" s="13" t="str">
        <f>IFERROR(VLOOKUP($D900,Insumos!$B:$U,D$1,0),"")</f>
        <v>Grs</v>
      </c>
      <c r="F900" s="70">
        <v>80.0</v>
      </c>
      <c r="G900" s="70">
        <f>IFERROR(VLOOKUP($D900,Insumos!$B:$U,G$1,0)/VLOOKUP($D900,Insumos!$B:$U,F$1,0),"")</f>
        <v>0.82</v>
      </c>
      <c r="H900" s="70">
        <f t="shared" si="66"/>
        <v>65.6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3">
        <f t="shared" ref="B901:B906" si="393">IF($D900="","",B900)</f>
        <v>97</v>
      </c>
      <c r="C901" s="13" t="str">
        <f t="shared" ref="C901:C906" si="394">IF($D901="","",C900)</f>
        <v>Arrollado con crema </v>
      </c>
      <c r="D901" s="13" t="s">
        <v>395</v>
      </c>
      <c r="E901" s="13" t="str">
        <f>IFERROR(VLOOKUP($D901,Insumos!$B:$U,D$1,0),"")</f>
        <v>Grs</v>
      </c>
      <c r="F901" s="70">
        <v>80.0</v>
      </c>
      <c r="G901" s="70">
        <f>IFERROR(VLOOKUP($D901,Insumos!$B:$U,G$1,0)/VLOOKUP($D901,Insumos!$B:$U,F$1,0),"")</f>
        <v>1.4</v>
      </c>
      <c r="H901" s="70">
        <f t="shared" si="66"/>
        <v>112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3">
        <f t="shared" si="393"/>
        <v>97</v>
      </c>
      <c r="C902" s="13" t="str">
        <f t="shared" si="394"/>
        <v>Arrollado con crema </v>
      </c>
      <c r="D902" s="13" t="s">
        <v>492</v>
      </c>
      <c r="E902" s="13" t="str">
        <f>IFERROR(VLOOKUP($D902,Insumos!$B:$U,D$1,0),"")</f>
        <v>Unidad</v>
      </c>
      <c r="F902" s="70">
        <v>4.0</v>
      </c>
      <c r="G902" s="70">
        <f>IFERROR(VLOOKUP($D902,Insumos!$B:$U,G$1,0)/VLOOKUP($D902,Insumos!$B:$U,F$1,0),"")</f>
        <v>166.6666667</v>
      </c>
      <c r="H902" s="70">
        <f t="shared" si="66"/>
        <v>666.6666667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3">
        <f t="shared" si="393"/>
        <v>97</v>
      </c>
      <c r="C903" s="13" t="str">
        <f t="shared" si="394"/>
        <v>Arrollado con crema </v>
      </c>
      <c r="D903" s="13" t="s">
        <v>642</v>
      </c>
      <c r="E903" s="13" t="str">
        <f>IFERROR(VLOOKUP($D903,Insumos!$B:$U,D$1,0),"")</f>
        <v>Grs</v>
      </c>
      <c r="F903" s="70">
        <v>350.0</v>
      </c>
      <c r="G903" s="70">
        <f>IFERROR(VLOOKUP($D903,Insumos!$B:$U,G$1,0)/VLOOKUP($D903,Insumos!$B:$U,F$1,0),"")</f>
        <v>9.2</v>
      </c>
      <c r="H903" s="70">
        <f t="shared" si="66"/>
        <v>3220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3">
        <f t="shared" si="393"/>
        <v>97</v>
      </c>
      <c r="C904" s="13" t="str">
        <f t="shared" si="394"/>
        <v>Arrollado con crema </v>
      </c>
      <c r="D904" s="13" t="s">
        <v>479</v>
      </c>
      <c r="E904" s="13" t="str">
        <f>IFERROR(VLOOKUP($D904,Insumos!$B:$U,D$1,0),"")</f>
        <v>Unidad</v>
      </c>
      <c r="F904" s="70">
        <v>250.0</v>
      </c>
      <c r="G904" s="70">
        <f>IFERROR(VLOOKUP($D904,Insumos!$B:$U,G$1,0)/VLOOKUP($D904,Insumos!$B:$U,F$1,0),"")</f>
        <v>4</v>
      </c>
      <c r="H904" s="70">
        <f t="shared" si="66"/>
        <v>1000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3">
        <f t="shared" si="393"/>
        <v>97</v>
      </c>
      <c r="C905" s="13" t="str">
        <f t="shared" si="394"/>
        <v>Arrollado con crema </v>
      </c>
      <c r="D905" s="13" t="s">
        <v>401</v>
      </c>
      <c r="E905" s="13" t="str">
        <f>IFERROR(VLOOKUP($D905,Insumos!$B:$U,D$1,0),"")</f>
        <v>Unidad</v>
      </c>
      <c r="F905" s="70">
        <v>1.0</v>
      </c>
      <c r="G905" s="70">
        <f>IFERROR(VLOOKUP($D905,Insumos!$B:$U,G$1,0)/VLOOKUP($D905,Insumos!$B:$U,F$1,0),"")</f>
        <v>1300</v>
      </c>
      <c r="H905" s="70">
        <f t="shared" si="66"/>
        <v>1300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81">
        <f t="shared" si="393"/>
        <v>97</v>
      </c>
      <c r="C906" s="81" t="str">
        <f t="shared" si="394"/>
        <v>Arrollado con crema </v>
      </c>
      <c r="D906" s="13" t="s">
        <v>426</v>
      </c>
      <c r="E906" s="81" t="str">
        <f>IFERROR(VLOOKUP($D906,Insumos!$B:$U,D$1,0),"")</f>
        <v>Unidad</v>
      </c>
      <c r="F906" s="82">
        <v>1.0</v>
      </c>
      <c r="G906" s="82">
        <f>IFERROR(VLOOKUP($D906,Insumos!$B:$U,G$1,0)/VLOOKUP($D906,Insumos!$B:$U,F$1,0),"")</f>
        <v>975</v>
      </c>
      <c r="H906" s="82">
        <f t="shared" si="66"/>
        <v>975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3">
        <v>98.0</v>
      </c>
      <c r="C907" s="66" t="s">
        <v>697</v>
      </c>
      <c r="D907" s="66" t="s">
        <v>584</v>
      </c>
      <c r="E907" s="66" t="str">
        <f>IFERROR(VLOOKUP($D907,Insumos!$B:$U,D$1,0),"")</f>
        <v>Grs</v>
      </c>
      <c r="F907" s="67">
        <f>F702/15*12</f>
        <v>400</v>
      </c>
      <c r="G907" s="67">
        <f>IFERROR(VLOOKUP($D907,Insumos!$B:$U,G$1,0)/VLOOKUP($D907,Insumos!$B:$U,F$1,0),"")</f>
        <v>10</v>
      </c>
      <c r="H907" s="67">
        <f t="shared" si="66"/>
        <v>4000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3">
        <f t="shared" ref="B908:B913" si="395">IF($D907="","",B907)</f>
        <v>98</v>
      </c>
      <c r="C908" s="13" t="str">
        <f t="shared" ref="C908:C913" si="396">IF($D908="","",C907)</f>
        <v>Huevos Rellenos N12 oreo</v>
      </c>
      <c r="D908" s="13" t="s">
        <v>590</v>
      </c>
      <c r="E908" s="13" t="str">
        <f>IFERROR(VLOOKUP($D908,Insumos!$B:$U,D$1,0),"")</f>
        <v>Grs</v>
      </c>
      <c r="F908" s="70">
        <v>50.0</v>
      </c>
      <c r="G908" s="70">
        <f>IFERROR(VLOOKUP($D908,Insumos!$B:$U,G$1,0)/VLOOKUP($D908,Insumos!$B:$U,F$1,0),"")</f>
        <v>14.52991453</v>
      </c>
      <c r="H908" s="70">
        <f t="shared" si="66"/>
        <v>726.4957265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3">
        <f t="shared" si="395"/>
        <v>98</v>
      </c>
      <c r="C909" s="13" t="str">
        <f t="shared" si="396"/>
        <v>Huevos Rellenos N12 oreo</v>
      </c>
      <c r="D909" s="13" t="s">
        <v>642</v>
      </c>
      <c r="E909" s="13" t="str">
        <f>IFERROR(VLOOKUP($D909,Insumos!$B:$U,D$1,0),"")</f>
        <v>Grs</v>
      </c>
      <c r="F909" s="70">
        <f t="shared" ref="F909:F911" si="397">F704/15*12</f>
        <v>60</v>
      </c>
      <c r="G909" s="70">
        <f>IFERROR(VLOOKUP($D909,Insumos!$B:$U,G$1,0)/VLOOKUP($D909,Insumos!$B:$U,F$1,0),"")</f>
        <v>9.2</v>
      </c>
      <c r="H909" s="70">
        <f t="shared" si="66"/>
        <v>552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3">
        <f t="shared" si="395"/>
        <v>98</v>
      </c>
      <c r="C910" s="13" t="str">
        <f t="shared" si="396"/>
        <v>Huevos Rellenos N12 oreo</v>
      </c>
      <c r="D910" s="13" t="s">
        <v>568</v>
      </c>
      <c r="E910" s="13" t="str">
        <f>IFERROR(VLOOKUP($D910,Insumos!$B:$U,D$1,0),"")</f>
        <v>Grs</v>
      </c>
      <c r="F910" s="70">
        <f t="shared" si="397"/>
        <v>40</v>
      </c>
      <c r="G910" s="70">
        <f>IFERROR(VLOOKUP($D910,Insumos!$B:$U,G$1,0)/VLOOKUP($D910,Insumos!$B:$U,F$1,0),"")</f>
        <v>11</v>
      </c>
      <c r="H910" s="70">
        <f t="shared" si="66"/>
        <v>440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3">
        <f t="shared" si="395"/>
        <v>98</v>
      </c>
      <c r="C911" s="13" t="str">
        <f t="shared" si="396"/>
        <v>Huevos Rellenos N12 oreo</v>
      </c>
      <c r="D911" s="13" t="s">
        <v>466</v>
      </c>
      <c r="E911" s="13" t="str">
        <f>IFERROR(VLOOKUP($D911,Insumos!$B:$U,D$1,0),"")</f>
        <v>Grs</v>
      </c>
      <c r="F911" s="70">
        <f t="shared" si="397"/>
        <v>80</v>
      </c>
      <c r="G911" s="70">
        <f>IFERROR(VLOOKUP($D911,Insumos!$B:$U,G$1,0)/VLOOKUP($D911,Insumos!$B:$U,F$1,0),"")</f>
        <v>3.4</v>
      </c>
      <c r="H911" s="70">
        <f t="shared" si="66"/>
        <v>272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3">
        <f t="shared" si="395"/>
        <v>98</v>
      </c>
      <c r="C912" s="13" t="str">
        <f t="shared" si="396"/>
        <v>Huevos Rellenos N12 oreo</v>
      </c>
      <c r="D912" s="13" t="s">
        <v>464</v>
      </c>
      <c r="E912" s="13" t="str">
        <f>IFERROR(VLOOKUP($D912,Insumos!$B:$U,D$1,0),"")</f>
        <v>Unidad</v>
      </c>
      <c r="F912" s="70">
        <v>1.0</v>
      </c>
      <c r="G912" s="70">
        <f>IFERROR(VLOOKUP($D912,Insumos!$B:$U,G$1,0)/VLOOKUP($D912,Insumos!$B:$U,F$1,0),"")</f>
        <v>53</v>
      </c>
      <c r="H912" s="70">
        <f t="shared" si="66"/>
        <v>53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3">
        <f t="shared" si="395"/>
        <v>98</v>
      </c>
      <c r="C913" s="13" t="str">
        <f t="shared" si="396"/>
        <v>Huevos Rellenos N12 oreo</v>
      </c>
      <c r="D913" s="13" t="s">
        <v>471</v>
      </c>
      <c r="E913" s="13" t="str">
        <f>IFERROR(VLOOKUP($D913,Insumos!$B:$U,D$1,0),"")</f>
        <v>Unidad</v>
      </c>
      <c r="F913" s="70">
        <v>1.0</v>
      </c>
      <c r="G913" s="70">
        <f>IFERROR(VLOOKUP($D913,Insumos!$B:$U,G$1,0)/VLOOKUP($D913,Insumos!$B:$U,F$1,0),"")</f>
        <v>12.66666667</v>
      </c>
      <c r="H913" s="70">
        <f t="shared" si="66"/>
        <v>12.66666667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81">
        <f>IF($D911="","",B911)</f>
        <v>98</v>
      </c>
      <c r="C914" s="81" t="str">
        <f>IF($D914="","",C911)</f>
        <v>Huevos Rellenos N12 oreo</v>
      </c>
      <c r="D914" s="81" t="s">
        <v>441</v>
      </c>
      <c r="E914" s="81" t="str">
        <f>IFERROR(VLOOKUP($D914,Insumos!$B:$U,D$1,0),"")</f>
        <v>Unidad</v>
      </c>
      <c r="F914" s="82">
        <v>1.0</v>
      </c>
      <c r="G914" s="82">
        <f>IFERROR(VLOOKUP($D914,Insumos!$B:$U,G$1,0)/VLOOKUP($D914,Insumos!$B:$U,F$1,0),"")</f>
        <v>831</v>
      </c>
      <c r="H914" s="82">
        <f t="shared" si="66"/>
        <v>831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3">
        <v>99.0</v>
      </c>
      <c r="C915" s="13" t="s">
        <v>698</v>
      </c>
      <c r="D915" s="13" t="s">
        <v>454</v>
      </c>
      <c r="E915" s="13" t="str">
        <f>IFERROR(VLOOKUP($D915,Insumos!$B:$U,D$1,0),"")</f>
        <v>Grs</v>
      </c>
      <c r="F915" s="70">
        <v>350.0</v>
      </c>
      <c r="G915" s="70">
        <f>IFERROR(VLOOKUP($D915,Insumos!$B:$U,G$1,0)/VLOOKUP($D915,Insumos!$B:$U,F$1,0),"")</f>
        <v>10</v>
      </c>
      <c r="H915" s="70">
        <f t="shared" si="66"/>
        <v>3500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3">
        <f t="shared" ref="B916:B920" si="398">IF($D915="","",B915)</f>
        <v>99</v>
      </c>
      <c r="C916" s="13" t="str">
        <f t="shared" ref="C916:C920" si="399">IF($D916="","",C915)</f>
        <v>Huevo copa del mundo</v>
      </c>
      <c r="D916" s="13" t="s">
        <v>460</v>
      </c>
      <c r="E916" s="13" t="str">
        <f>IFERROR(VLOOKUP($D916,Insumos!$B:$U,D$1,0),"")</f>
        <v>Grs</v>
      </c>
      <c r="F916" s="70">
        <v>5.0</v>
      </c>
      <c r="G916" s="70">
        <f>IFERROR(VLOOKUP($D916,Insumos!$B:$U,G$1,0)/VLOOKUP($D916,Insumos!$B:$U,F$1,0),"")</f>
        <v>333.3333333</v>
      </c>
      <c r="H916" s="70">
        <f t="shared" si="66"/>
        <v>1666.666667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3">
        <f t="shared" si="398"/>
        <v>99</v>
      </c>
      <c r="C917" s="13" t="str">
        <f t="shared" si="399"/>
        <v>Huevo copa del mundo</v>
      </c>
      <c r="D917" s="13" t="s">
        <v>502</v>
      </c>
      <c r="E917" s="13" t="str">
        <f>IFERROR(VLOOKUP($D917,Insumos!$B:$U,D$1,0),"")</f>
        <v>Unidad</v>
      </c>
      <c r="F917" s="70">
        <v>2.0</v>
      </c>
      <c r="G917" s="70">
        <f>IFERROR(VLOOKUP($D917,Insumos!$B:$U,G$1,0)/VLOOKUP($D917,Insumos!$B:$U,F$1,0),"")</f>
        <v>67</v>
      </c>
      <c r="H917" s="70">
        <f t="shared" si="66"/>
        <v>134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3">
        <f t="shared" si="398"/>
        <v>99</v>
      </c>
      <c r="C918" s="13" t="str">
        <f t="shared" si="399"/>
        <v>Huevo copa del mundo</v>
      </c>
      <c r="D918" s="13" t="s">
        <v>540</v>
      </c>
      <c r="E918" s="13" t="str">
        <f>IFERROR(VLOOKUP($D918,Insumos!$B:$U,D$1,0),"")</f>
        <v>Grs</v>
      </c>
      <c r="F918" s="70">
        <v>40.0</v>
      </c>
      <c r="G918" s="70">
        <f>IFERROR(VLOOKUP($D918,Insumos!$B:$U,G$1,0)/VLOOKUP($D918,Insumos!$B:$U,F$1,0),"")</f>
        <v>4</v>
      </c>
      <c r="H918" s="70">
        <f t="shared" si="66"/>
        <v>160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3">
        <f t="shared" si="398"/>
        <v>99</v>
      </c>
      <c r="C919" s="13" t="str">
        <f t="shared" si="399"/>
        <v>Huevo copa del mundo</v>
      </c>
      <c r="D919" s="13" t="s">
        <v>414</v>
      </c>
      <c r="E919" s="13" t="str">
        <f>IFERROR(VLOOKUP($D919,Insumos!$B:$U,D$1,0),"")</f>
        <v>Unidad</v>
      </c>
      <c r="F919" s="70">
        <v>1.0</v>
      </c>
      <c r="G919" s="70">
        <f>IFERROR(VLOOKUP($D919,Insumos!$B:$U,G$1,0)/VLOOKUP($D919,Insumos!$B:$U,F$1,0),"")</f>
        <v>100</v>
      </c>
      <c r="H919" s="70">
        <f t="shared" si="66"/>
        <v>100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81">
        <f t="shared" si="398"/>
        <v>99</v>
      </c>
      <c r="C920" s="81" t="str">
        <f t="shared" si="399"/>
        <v>Huevo copa del mundo</v>
      </c>
      <c r="D920" s="81" t="s">
        <v>471</v>
      </c>
      <c r="E920" s="81" t="str">
        <f>IFERROR(VLOOKUP($D920,Insumos!$B:$U,D$1,0),"")</f>
        <v>Unidad</v>
      </c>
      <c r="F920" s="82">
        <v>1.0</v>
      </c>
      <c r="G920" s="82">
        <f>IFERROR(VLOOKUP($D920,Insumos!$B:$U,G$1,0)/VLOOKUP($D920,Insumos!$B:$U,F$1,0),"")</f>
        <v>12.66666667</v>
      </c>
      <c r="H920" s="82">
        <f t="shared" si="66"/>
        <v>12.66666667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3">
        <v>100.0</v>
      </c>
      <c r="C921" s="13" t="s">
        <v>699</v>
      </c>
      <c r="D921" s="66" t="s">
        <v>584</v>
      </c>
      <c r="E921" s="13" t="str">
        <f>IFERROR(VLOOKUP($D921,Insumos!$B:$U,D$1,0),"")</f>
        <v>Grs</v>
      </c>
      <c r="F921" s="70">
        <v>600.0</v>
      </c>
      <c r="G921" s="70">
        <f>IFERROR(VLOOKUP($D921,Insumos!$B:$U,G$1,0)/VLOOKUP($D921,Insumos!$B:$U,F$1,0),"")</f>
        <v>10</v>
      </c>
      <c r="H921" s="70">
        <f t="shared" si="66"/>
        <v>6000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3">
        <f t="shared" ref="B922:B925" si="400">IF($D921="","",B921)</f>
        <v>100</v>
      </c>
      <c r="C922" s="13" t="str">
        <f t="shared" ref="C922:C925" si="401">IF($D922="","",C921)</f>
        <v>Huevo Colorido N15</v>
      </c>
      <c r="D922" s="13" t="s">
        <v>459</v>
      </c>
      <c r="E922" s="13" t="str">
        <f>IFERROR(VLOOKUP($D922,Insumos!$B:$U,D$1,0),"")</f>
        <v>Grs</v>
      </c>
      <c r="F922" s="70">
        <v>5.0</v>
      </c>
      <c r="G922" s="70">
        <f>IFERROR(VLOOKUP($D922,Insumos!$B:$U,G$1,0)/VLOOKUP($D922,Insumos!$B:$U,F$1,0),"")</f>
        <v>233.3333333</v>
      </c>
      <c r="H922" s="70">
        <f t="shared" si="66"/>
        <v>1166.666667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3">
        <f t="shared" si="400"/>
        <v>100</v>
      </c>
      <c r="C923" s="13" t="str">
        <f t="shared" si="401"/>
        <v>Huevo Colorido N15</v>
      </c>
      <c r="D923" s="13" t="s">
        <v>539</v>
      </c>
      <c r="E923" s="13" t="str">
        <f>IFERROR(VLOOKUP($D923,Insumos!$B:$U,D$1,0),"")</f>
        <v>Grs</v>
      </c>
      <c r="F923" s="70">
        <v>20.0</v>
      </c>
      <c r="G923" s="70">
        <f>IFERROR(VLOOKUP($D923,Insumos!$B:$U,G$1,0)/VLOOKUP($D923,Insumos!$B:$U,F$1,0),"")</f>
        <v>1.8</v>
      </c>
      <c r="H923" s="70">
        <f t="shared" si="66"/>
        <v>36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3">
        <f t="shared" si="400"/>
        <v>100</v>
      </c>
      <c r="C924" s="13" t="str">
        <f t="shared" si="401"/>
        <v>Huevo Colorido N15</v>
      </c>
      <c r="D924" s="13" t="s">
        <v>414</v>
      </c>
      <c r="E924" s="13" t="str">
        <f>IFERROR(VLOOKUP($D924,Insumos!$B:$U,D$1,0),"")</f>
        <v>Unidad</v>
      </c>
      <c r="F924" s="70">
        <v>1.0</v>
      </c>
      <c r="G924" s="70">
        <f>IFERROR(VLOOKUP($D924,Insumos!$B:$U,G$1,0)/VLOOKUP($D924,Insumos!$B:$U,F$1,0),"")</f>
        <v>100</v>
      </c>
      <c r="H924" s="70">
        <f t="shared" si="66"/>
        <v>100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81">
        <f t="shared" si="400"/>
        <v>100</v>
      </c>
      <c r="C925" s="81" t="str">
        <f t="shared" si="401"/>
        <v>Huevo Colorido N15</v>
      </c>
      <c r="D925" s="81" t="s">
        <v>471</v>
      </c>
      <c r="E925" s="81" t="str">
        <f>IFERROR(VLOOKUP($D925,Insumos!$B:$U,D$1,0),"")</f>
        <v>Unidad</v>
      </c>
      <c r="F925" s="82">
        <v>1.0</v>
      </c>
      <c r="G925" s="82">
        <f>IFERROR(VLOOKUP($D925,Insumos!$B:$U,G$1,0)/VLOOKUP($D925,Insumos!$B:$U,F$1,0),"")</f>
        <v>12.66666667</v>
      </c>
      <c r="H925" s="82">
        <f t="shared" si="66"/>
        <v>12.66666667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3">
        <v>101.0</v>
      </c>
      <c r="C926" s="13" t="s">
        <v>700</v>
      </c>
      <c r="D926" s="66" t="s">
        <v>584</v>
      </c>
      <c r="E926" s="13" t="str">
        <f>IFERROR(VLOOKUP($D926,Insumos!$B:$U,D$1,0),"")</f>
        <v>Grs</v>
      </c>
      <c r="F926" s="70">
        <v>500.0</v>
      </c>
      <c r="G926" s="70">
        <f>IFERROR(VLOOKUP($D926,Insumos!$B:$U,G$1,0)/VLOOKUP($D926,Insumos!$B:$U,F$1,0),"")</f>
        <v>10</v>
      </c>
      <c r="H926" s="70">
        <f t="shared" si="66"/>
        <v>5000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3">
        <f t="shared" ref="B927:B930" si="402">IF($D926="","",B926)</f>
        <v>101</v>
      </c>
      <c r="C927" s="13" t="str">
        <f t="shared" ref="C927:C930" si="403">IF($D927="","",C926)</f>
        <v>Huevo Colorido N12</v>
      </c>
      <c r="D927" s="13" t="s">
        <v>459</v>
      </c>
      <c r="E927" s="13" t="str">
        <f>IFERROR(VLOOKUP($D927,Insumos!$B:$U,D$1,0),"")</f>
        <v>Grs</v>
      </c>
      <c r="F927" s="70">
        <v>4.0</v>
      </c>
      <c r="G927" s="70">
        <f>IFERROR(VLOOKUP($D927,Insumos!$B:$U,G$1,0)/VLOOKUP($D927,Insumos!$B:$U,F$1,0),"")</f>
        <v>233.3333333</v>
      </c>
      <c r="H927" s="70">
        <f t="shared" si="66"/>
        <v>933.3333333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3">
        <f t="shared" si="402"/>
        <v>101</v>
      </c>
      <c r="C928" s="13" t="str">
        <f t="shared" si="403"/>
        <v>Huevo Colorido N12</v>
      </c>
      <c r="D928" s="13" t="s">
        <v>539</v>
      </c>
      <c r="E928" s="13" t="str">
        <f>IFERROR(VLOOKUP($D928,Insumos!$B:$U,D$1,0),"")</f>
        <v>Grs</v>
      </c>
      <c r="F928" s="70">
        <v>15.0</v>
      </c>
      <c r="G928" s="70">
        <f>IFERROR(VLOOKUP($D928,Insumos!$B:$U,G$1,0)/VLOOKUP($D928,Insumos!$B:$U,F$1,0),"")</f>
        <v>1.8</v>
      </c>
      <c r="H928" s="70">
        <f t="shared" si="66"/>
        <v>27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3">
        <f t="shared" si="402"/>
        <v>101</v>
      </c>
      <c r="C929" s="13" t="str">
        <f t="shared" si="403"/>
        <v>Huevo Colorido N12</v>
      </c>
      <c r="D929" s="13" t="s">
        <v>414</v>
      </c>
      <c r="E929" s="13" t="str">
        <f>IFERROR(VLOOKUP($D929,Insumos!$B:$U,D$1,0),"")</f>
        <v>Unidad</v>
      </c>
      <c r="F929" s="70">
        <v>1.0</v>
      </c>
      <c r="G929" s="70">
        <f>IFERROR(VLOOKUP($D929,Insumos!$B:$U,G$1,0)/VLOOKUP($D929,Insumos!$B:$U,F$1,0),"")</f>
        <v>100</v>
      </c>
      <c r="H929" s="70">
        <f t="shared" si="66"/>
        <v>100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81">
        <f t="shared" si="402"/>
        <v>101</v>
      </c>
      <c r="C930" s="81" t="str">
        <f t="shared" si="403"/>
        <v>Huevo Colorido N12</v>
      </c>
      <c r="D930" s="81" t="s">
        <v>471</v>
      </c>
      <c r="E930" s="81" t="str">
        <f>IFERROR(VLOOKUP($D930,Insumos!$B:$U,D$1,0),"")</f>
        <v>Unidad</v>
      </c>
      <c r="F930" s="82">
        <v>1.0</v>
      </c>
      <c r="G930" s="82">
        <f>IFERROR(VLOOKUP($D930,Insumos!$B:$U,G$1,0)/VLOOKUP($D930,Insumos!$B:$U,F$1,0),"")</f>
        <v>12.66666667</v>
      </c>
      <c r="H930" s="82">
        <f t="shared" si="66"/>
        <v>12.66666667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3">
        <v>102.0</v>
      </c>
      <c r="C931" s="13" t="s">
        <v>701</v>
      </c>
      <c r="D931" s="13" t="s">
        <v>496</v>
      </c>
      <c r="E931" s="13" t="str">
        <f>IFERROR(VLOOKUP($D931,Insumos!$B:$U,D$1,0),"")</f>
        <v>Cm3</v>
      </c>
      <c r="F931" s="70">
        <v>125.0</v>
      </c>
      <c r="G931" s="70">
        <f>IFERROR(VLOOKUP($D931,Insumos!$B:$U,G$1,0)/VLOOKUP($D931,Insumos!$B:$U,F$1,0),"")</f>
        <v>2.1</v>
      </c>
      <c r="H931" s="70">
        <f t="shared" si="66"/>
        <v>262.5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3">
        <f t="shared" ref="B932:B942" si="404">IF($D931="","",B931)</f>
        <v>102</v>
      </c>
      <c r="C932" s="13" t="str">
        <f t="shared" ref="C932:C942" si="405">IF($D932="","",C931)</f>
        <v>Rosca de pascua</v>
      </c>
      <c r="D932" s="13" t="s">
        <v>513</v>
      </c>
      <c r="E932" s="13" t="str">
        <f>IFERROR(VLOOKUP($D932,Insumos!$B:$U,D$1,0),"")</f>
        <v>Cm3</v>
      </c>
      <c r="F932" s="70">
        <v>5.0</v>
      </c>
      <c r="G932" s="70">
        <f>IFERROR(VLOOKUP($D932,Insumos!$B:$U,G$1,0)/VLOOKUP($D932,Insumos!$B:$U,F$1,0),"")</f>
        <v>4.5</v>
      </c>
      <c r="H932" s="70">
        <f t="shared" si="66"/>
        <v>22.5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3">
        <f t="shared" si="404"/>
        <v>102</v>
      </c>
      <c r="C933" s="13" t="str">
        <f t="shared" si="405"/>
        <v>Rosca de pascua</v>
      </c>
      <c r="D933" s="13" t="s">
        <v>395</v>
      </c>
      <c r="E933" s="13" t="str">
        <f>IFERROR(VLOOKUP($D933,Insumos!$B:$U,D$1,0),"")</f>
        <v>Grs</v>
      </c>
      <c r="F933" s="70">
        <v>150.0</v>
      </c>
      <c r="G933" s="70">
        <f>IFERROR(VLOOKUP($D933,Insumos!$B:$U,G$1,0)/VLOOKUP($D933,Insumos!$B:$U,F$1,0),"")</f>
        <v>1.4</v>
      </c>
      <c r="H933" s="70">
        <f t="shared" si="66"/>
        <v>210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3">
        <f t="shared" si="404"/>
        <v>102</v>
      </c>
      <c r="C934" s="13" t="str">
        <f t="shared" si="405"/>
        <v>Rosca de pascua</v>
      </c>
      <c r="D934" s="13" t="s">
        <v>499</v>
      </c>
      <c r="E934" s="13" t="str">
        <f>IFERROR(VLOOKUP($D934,Insumos!$B:$U,D$1,0),"")</f>
        <v>Grs</v>
      </c>
      <c r="F934" s="70">
        <v>30.0</v>
      </c>
      <c r="G934" s="70">
        <f>IFERROR(VLOOKUP($D934,Insumos!$B:$U,G$1,0)/VLOOKUP($D934,Insumos!$B:$U,F$1,0),"")</f>
        <v>8</v>
      </c>
      <c r="H934" s="70">
        <f t="shared" si="66"/>
        <v>240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3">
        <f t="shared" si="404"/>
        <v>102</v>
      </c>
      <c r="C935" s="13" t="str">
        <f t="shared" si="405"/>
        <v>Rosca de pascua</v>
      </c>
      <c r="D935" s="13" t="s">
        <v>489</v>
      </c>
      <c r="E935" s="13" t="str">
        <f>IFERROR(VLOOKUP($D935,Insumos!$B:$U,D$1,0),"")</f>
        <v>Grs</v>
      </c>
      <c r="F935" s="70">
        <v>600.0</v>
      </c>
      <c r="G935" s="70">
        <f>IFERROR(VLOOKUP($D935,Insumos!$B:$U,G$1,0)/VLOOKUP($D935,Insumos!$B:$U,F$1,0),"")</f>
        <v>0.82</v>
      </c>
      <c r="H935" s="70">
        <f t="shared" si="66"/>
        <v>492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3">
        <f t="shared" si="404"/>
        <v>102</v>
      </c>
      <c r="C936" s="13" t="str">
        <f t="shared" si="405"/>
        <v>Rosca de pascua</v>
      </c>
      <c r="D936" s="13" t="s">
        <v>500</v>
      </c>
      <c r="E936" s="13" t="str">
        <f>IFERROR(VLOOKUP($D936,Insumos!$B:$U,D$1,0),"")</f>
        <v>Unidad</v>
      </c>
      <c r="F936" s="70">
        <v>1.0</v>
      </c>
      <c r="G936" s="70">
        <f>IFERROR(VLOOKUP($D936,Insumos!$B:$U,G$1,0)/VLOOKUP($D936,Insumos!$B:$U,F$1,0),"")</f>
        <v>180</v>
      </c>
      <c r="H936" s="70">
        <f t="shared" si="66"/>
        <v>180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3">
        <f t="shared" si="404"/>
        <v>102</v>
      </c>
      <c r="C937" s="13" t="str">
        <f t="shared" si="405"/>
        <v>Rosca de pascua</v>
      </c>
      <c r="D937" s="13" t="s">
        <v>468</v>
      </c>
      <c r="E937" s="13" t="str">
        <f>IFERROR(VLOOKUP($D937,Insumos!$B:$U,D$1,0),"")</f>
        <v>Cm3</v>
      </c>
      <c r="F937" s="70">
        <v>5.0</v>
      </c>
      <c r="G937" s="70">
        <f>IFERROR(VLOOKUP($D937,Insumos!$B:$U,G$1,0)/VLOOKUP($D937,Insumos!$B:$U,F$1,0),"")</f>
        <v>1.52</v>
      </c>
      <c r="H937" s="70">
        <f t="shared" si="66"/>
        <v>7.6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3">
        <f t="shared" si="404"/>
        <v>102</v>
      </c>
      <c r="C938" s="13" t="str">
        <f t="shared" si="405"/>
        <v>Rosca de pascua</v>
      </c>
      <c r="D938" s="13" t="s">
        <v>492</v>
      </c>
      <c r="E938" s="13" t="str">
        <f>IFERROR(VLOOKUP($D938,Insumos!$B:$U,D$1,0),"")</f>
        <v>Unidad</v>
      </c>
      <c r="F938" s="70">
        <v>3.0</v>
      </c>
      <c r="G938" s="70">
        <f>IFERROR(VLOOKUP($D938,Insumos!$B:$U,G$1,0)/VLOOKUP($D938,Insumos!$B:$U,F$1,0),"")</f>
        <v>166.6666667</v>
      </c>
      <c r="H938" s="70">
        <f t="shared" si="66"/>
        <v>500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3">
        <f t="shared" si="404"/>
        <v>102</v>
      </c>
      <c r="C939" s="13" t="str">
        <f t="shared" si="405"/>
        <v>Rosca de pascua</v>
      </c>
      <c r="D939" s="13" t="s">
        <v>505</v>
      </c>
      <c r="E939" s="13" t="str">
        <f>IFERROR(VLOOKUP($D939,Insumos!$B:$U,D$1,0),"")</f>
        <v>Grs</v>
      </c>
      <c r="F939" s="70">
        <v>120.0</v>
      </c>
      <c r="G939" s="70">
        <f>IFERROR(VLOOKUP($D939,Insumos!$B:$U,G$1,0)/VLOOKUP($D939,Insumos!$B:$U,F$1,0),"")</f>
        <v>11</v>
      </c>
      <c r="H939" s="70">
        <f t="shared" si="66"/>
        <v>1320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3">
        <f t="shared" si="404"/>
        <v>102</v>
      </c>
      <c r="C940" s="13" t="str">
        <f t="shared" si="405"/>
        <v>Rosca de pascua</v>
      </c>
      <c r="D940" s="13" t="s">
        <v>454</v>
      </c>
      <c r="E940" s="13" t="str">
        <f>IFERROR(VLOOKUP($D940,Insumos!$B:$U,D$1,0),"")</f>
        <v>Grs</v>
      </c>
      <c r="F940" s="70">
        <v>150.0</v>
      </c>
      <c r="G940" s="70">
        <f>IFERROR(VLOOKUP($D940,Insumos!$B:$U,G$1,0)/VLOOKUP($D940,Insumos!$B:$U,F$1,0),"")</f>
        <v>10</v>
      </c>
      <c r="H940" s="70">
        <f t="shared" si="66"/>
        <v>1500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3">
        <f t="shared" si="404"/>
        <v>102</v>
      </c>
      <c r="C941" s="13" t="str">
        <f t="shared" si="405"/>
        <v>Rosca de pascua</v>
      </c>
      <c r="D941" s="13" t="s">
        <v>396</v>
      </c>
      <c r="E941" s="13" t="str">
        <f>IFERROR(VLOOKUP($D941,Insumos!$B:$U,D$1,0),"")</f>
        <v>Grs</v>
      </c>
      <c r="F941" s="70">
        <v>100.0</v>
      </c>
      <c r="G941" s="70">
        <f>IFERROR(VLOOKUP($D941,Insumos!$B:$U,G$1,0)/VLOOKUP($D941,Insumos!$B:$U,F$1,0),"")</f>
        <v>15</v>
      </c>
      <c r="H941" s="70">
        <f t="shared" si="66"/>
        <v>1500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3">
        <f t="shared" si="404"/>
        <v>102</v>
      </c>
      <c r="C942" s="13" t="str">
        <f t="shared" si="405"/>
        <v>Rosca de pascua</v>
      </c>
      <c r="D942" s="13" t="s">
        <v>450</v>
      </c>
      <c r="E942" s="13" t="str">
        <f>IFERROR(VLOOKUP($D942,Insumos!$B:$U,D$1,0),"")</f>
        <v>Grs</v>
      </c>
      <c r="F942" s="70">
        <v>10.0</v>
      </c>
      <c r="G942" s="70">
        <f>IFERROR(VLOOKUP($D942,Insumos!$B:$U,G$1,0)/VLOOKUP($D942,Insumos!$B:$U,F$1,0),"")</f>
        <v>8</v>
      </c>
      <c r="H942" s="70">
        <f t="shared" si="66"/>
        <v>80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3">
        <f t="shared" ref="B943:B944" si="406">IF($D941="","",B941)</f>
        <v>102</v>
      </c>
      <c r="C943" s="13" t="str">
        <f t="shared" ref="C943:C944" si="407">IF($D943="","",C941)</f>
        <v>Rosca de pascua</v>
      </c>
      <c r="D943" s="13" t="s">
        <v>411</v>
      </c>
      <c r="E943" s="13" t="str">
        <f>IFERROR(VLOOKUP($D943,Insumos!$B:$U,D$1,0),"")</f>
        <v>Unidad</v>
      </c>
      <c r="F943" s="70">
        <v>1.0</v>
      </c>
      <c r="G943" s="70">
        <f>IFERROR(VLOOKUP($D943,Insumos!$B:$U,G$1,0)/VLOOKUP($D943,Insumos!$B:$U,F$1,0),"")</f>
        <v>7.94</v>
      </c>
      <c r="H943" s="70">
        <f t="shared" si="66"/>
        <v>7.94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3">
        <f t="shared" si="406"/>
        <v>102</v>
      </c>
      <c r="C944" s="13" t="str">
        <f t="shared" si="407"/>
        <v>Rosca de pascua</v>
      </c>
      <c r="D944" s="13" t="s">
        <v>471</v>
      </c>
      <c r="E944" s="13" t="str">
        <f>IFERROR(VLOOKUP($D944,Insumos!$B:$U,D$1,0),"")</f>
        <v>Unidad</v>
      </c>
      <c r="F944" s="70">
        <v>1.0</v>
      </c>
      <c r="G944" s="70">
        <f>IFERROR(VLOOKUP($D944,Insumos!$B:$U,G$1,0)/VLOOKUP($D944,Insumos!$B:$U,F$1,0),"")</f>
        <v>12.66666667</v>
      </c>
      <c r="H944" s="70">
        <f t="shared" si="66"/>
        <v>12.66666667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81">
        <f>IF($D942="","",B942)</f>
        <v>102</v>
      </c>
      <c r="C945" s="81" t="str">
        <f>IF($D945="","",C942)</f>
        <v>Rosca de pascua</v>
      </c>
      <c r="D945" s="81" t="s">
        <v>406</v>
      </c>
      <c r="E945" s="81" t="str">
        <f>IFERROR(VLOOKUP($D945,Insumos!$B:$U,D$1,0),"")</f>
        <v>Unidad</v>
      </c>
      <c r="F945" s="82">
        <v>1.0</v>
      </c>
      <c r="G945" s="82">
        <f>IFERROR(VLOOKUP($D945,Insumos!$B:$U,G$1,0)/VLOOKUP($D945,Insumos!$B:$U,F$1,0),"")</f>
        <v>2250</v>
      </c>
      <c r="H945" s="82">
        <f t="shared" si="66"/>
        <v>2250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3">
        <v>103.0</v>
      </c>
      <c r="C946" s="13" t="s">
        <v>702</v>
      </c>
      <c r="D946" s="13" t="s">
        <v>489</v>
      </c>
      <c r="E946" s="13" t="str">
        <f>IFERROR(VLOOKUP($D946,Insumos!$B:$U,D$1,0),"")</f>
        <v>Grs</v>
      </c>
      <c r="F946" s="70">
        <v>350.0</v>
      </c>
      <c r="G946" s="70">
        <f>IFERROR(VLOOKUP($D946,Insumos!$B:$U,G$1,0)/VLOOKUP($D946,Insumos!$B:$U,F$1,0),"")</f>
        <v>0.82</v>
      </c>
      <c r="H946" s="70">
        <f t="shared" si="66"/>
        <v>287</v>
      </c>
      <c r="I946" s="60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3">
        <f t="shared" ref="B947:B952" si="408">IF($D946="","",B946)</f>
        <v>103</v>
      </c>
      <c r="C947" s="13" t="str">
        <f t="shared" ref="C947:C952" si="409">IF($D947="","",C946)</f>
        <v>Chips DOCENA </v>
      </c>
      <c r="D947" s="13" t="s">
        <v>499</v>
      </c>
      <c r="E947" s="13" t="str">
        <f>IFERROR(VLOOKUP($D947,Insumos!$B:$U,D$1,0),"")</f>
        <v>Grs</v>
      </c>
      <c r="F947" s="70">
        <v>20.0</v>
      </c>
      <c r="G947" s="70">
        <f>IFERROR(VLOOKUP($D947,Insumos!$B:$U,G$1,0)/VLOOKUP($D947,Insumos!$B:$U,F$1,0),"")</f>
        <v>8</v>
      </c>
      <c r="H947" s="70">
        <f t="shared" si="66"/>
        <v>160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3">
        <f t="shared" si="408"/>
        <v>103</v>
      </c>
      <c r="C948" s="13" t="str">
        <f t="shared" si="409"/>
        <v>Chips DOCENA </v>
      </c>
      <c r="D948" s="13" t="s">
        <v>505</v>
      </c>
      <c r="E948" s="13" t="str">
        <f>IFERROR(VLOOKUP($D948,Insumos!$B:$U,D$1,0),"")</f>
        <v>Grs</v>
      </c>
      <c r="F948" s="70">
        <v>40.0</v>
      </c>
      <c r="G948" s="70">
        <f>IFERROR(VLOOKUP($D948,Insumos!$B:$U,G$1,0)/VLOOKUP($D948,Insumos!$B:$U,F$1,0),"")</f>
        <v>11</v>
      </c>
      <c r="H948" s="70">
        <f t="shared" si="66"/>
        <v>440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3">
        <f t="shared" si="408"/>
        <v>103</v>
      </c>
      <c r="C949" s="13" t="str">
        <f t="shared" si="409"/>
        <v>Chips DOCENA </v>
      </c>
      <c r="D949" s="13" t="s">
        <v>703</v>
      </c>
      <c r="E949" s="13" t="str">
        <f>IFERROR(VLOOKUP($D949,Insumos!$B:$U,D$1,0),"")</f>
        <v>Grs</v>
      </c>
      <c r="F949" s="70">
        <v>150.0</v>
      </c>
      <c r="G949" s="70">
        <f>IFERROR(VLOOKUP($D949,Insumos!$B:$U,G$1,0)/VLOOKUP($D949,Insumos!$B:$U,F$1,0),"")</f>
        <v>20</v>
      </c>
      <c r="H949" s="70">
        <f t="shared" si="66"/>
        <v>3000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3">
        <f t="shared" si="408"/>
        <v>103</v>
      </c>
      <c r="C950" s="13" t="str">
        <f t="shared" si="409"/>
        <v>Chips DOCENA </v>
      </c>
      <c r="D950" s="13" t="s">
        <v>534</v>
      </c>
      <c r="E950" s="13" t="str">
        <f>IFERROR(VLOOKUP($D950,Insumos!$B:$U,D$1,0),"")</f>
        <v>Grs</v>
      </c>
      <c r="F950" s="70">
        <v>150.0</v>
      </c>
      <c r="G950" s="70">
        <f>IFERROR(VLOOKUP($D950,Insumos!$B:$U,G$1,0)/VLOOKUP($D950,Insumos!$B:$U,F$1,0),"")</f>
        <v>16</v>
      </c>
      <c r="H950" s="70">
        <f t="shared" si="66"/>
        <v>2400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3">
        <f t="shared" si="408"/>
        <v>103</v>
      </c>
      <c r="C951" s="13" t="str">
        <f t="shared" si="409"/>
        <v>Chips DOCENA </v>
      </c>
      <c r="D951" s="13" t="s">
        <v>427</v>
      </c>
      <c r="E951" s="13" t="str">
        <f>IFERROR(VLOOKUP($D951,Insumos!$B:$U,D$1,0),"")</f>
        <v>Unidad</v>
      </c>
      <c r="F951" s="70">
        <v>1.0</v>
      </c>
      <c r="G951" s="70">
        <f>IFERROR(VLOOKUP($D951,Insumos!$B:$U,G$1,0)/VLOOKUP($D951,Insumos!$B:$U,F$1,0),"")</f>
        <v>358</v>
      </c>
      <c r="H951" s="70">
        <f t="shared" si="66"/>
        <v>358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3">
        <f t="shared" si="408"/>
        <v>103</v>
      </c>
      <c r="C952" s="81" t="str">
        <f t="shared" si="409"/>
        <v>Chips DOCENA </v>
      </c>
      <c r="D952" s="81" t="s">
        <v>509</v>
      </c>
      <c r="E952" s="13" t="str">
        <f>IFERROR(VLOOKUP($D952,Insumos!$B:$U,D$1,0),"")</f>
        <v>Grs</v>
      </c>
      <c r="F952" s="82">
        <v>180.0</v>
      </c>
      <c r="G952" s="70">
        <f>IFERROR(VLOOKUP($D952,Insumos!$B:$U,G$1,0)/VLOOKUP($D952,Insumos!$B:$U,F$1,0),"")</f>
        <v>3.48</v>
      </c>
      <c r="H952" s="70">
        <f t="shared" si="66"/>
        <v>626.4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66">
        <v>104.0</v>
      </c>
      <c r="C953" s="13" t="s">
        <v>704</v>
      </c>
      <c r="D953" s="13" t="s">
        <v>489</v>
      </c>
      <c r="E953" s="66" t="str">
        <f>IFERROR(VLOOKUP($D953,Insumos!$B:$U,D$1,0),"")</f>
        <v>Grs</v>
      </c>
      <c r="F953" s="70">
        <v>350.0</v>
      </c>
      <c r="G953" s="67">
        <f>IFERROR(VLOOKUP($D953,Insumos!$B:$U,G$1,0)/VLOOKUP($D953,Insumos!$B:$U,F$1,0),"")</f>
        <v>0.82</v>
      </c>
      <c r="H953" s="67">
        <f t="shared" si="66"/>
        <v>287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3">
        <f t="shared" ref="B954:B960" si="410">IF($D953="","",B953)</f>
        <v>104</v>
      </c>
      <c r="C954" s="13" t="str">
        <f t="shared" ref="C954:C960" si="411">IF($D954="","",C953)</f>
        <v>Chips de pollo DOCENA</v>
      </c>
      <c r="D954" s="13" t="s">
        <v>499</v>
      </c>
      <c r="E954" s="13" t="str">
        <f>IFERROR(VLOOKUP($D954,Insumos!$B:$U,D$1,0),"")</f>
        <v>Grs</v>
      </c>
      <c r="F954" s="70">
        <v>20.0</v>
      </c>
      <c r="G954" s="70">
        <f>IFERROR(VLOOKUP($D954,Insumos!$B:$U,G$1,0)/VLOOKUP($D954,Insumos!$B:$U,F$1,0),"")</f>
        <v>8</v>
      </c>
      <c r="H954" s="70">
        <f t="shared" si="66"/>
        <v>160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3">
        <f t="shared" si="410"/>
        <v>104</v>
      </c>
      <c r="C955" s="13" t="str">
        <f t="shared" si="411"/>
        <v>Chips de pollo DOCENA</v>
      </c>
      <c r="D955" s="13" t="s">
        <v>505</v>
      </c>
      <c r="E955" s="13" t="str">
        <f>IFERROR(VLOOKUP($D955,Insumos!$B:$U,D$1,0),"")</f>
        <v>Grs</v>
      </c>
      <c r="F955" s="70">
        <v>40.0</v>
      </c>
      <c r="G955" s="70">
        <f>IFERROR(VLOOKUP($D955,Insumos!$B:$U,G$1,0)/VLOOKUP($D955,Insumos!$B:$U,F$1,0),"")</f>
        <v>11</v>
      </c>
      <c r="H955" s="70">
        <f t="shared" si="66"/>
        <v>440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3">
        <f t="shared" si="410"/>
        <v>104</v>
      </c>
      <c r="C956" s="13" t="str">
        <f t="shared" si="411"/>
        <v>Chips de pollo DOCENA</v>
      </c>
      <c r="D956" s="13" t="s">
        <v>526</v>
      </c>
      <c r="E956" s="13" t="str">
        <f>IFERROR(VLOOKUP($D956,Insumos!$B:$U,D$1,0),"")</f>
        <v>Grs</v>
      </c>
      <c r="F956" s="70">
        <v>2000.0</v>
      </c>
      <c r="G956" s="70">
        <f>IFERROR(VLOOKUP($D956,Insumos!$B:$U,G$1,0)/VLOOKUP($D956,Insumos!$B:$U,F$1,0),"")</f>
        <v>6.5</v>
      </c>
      <c r="H956" s="70">
        <f t="shared" si="66"/>
        <v>13000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3">
        <f t="shared" si="410"/>
        <v>104</v>
      </c>
      <c r="C957" s="13" t="str">
        <f t="shared" si="411"/>
        <v>Chips de pollo DOCENA</v>
      </c>
      <c r="D957" s="13" t="s">
        <v>548</v>
      </c>
      <c r="E957" s="13" t="str">
        <f>IFERROR(VLOOKUP($D957,Insumos!$B:$U,D$1,0),"")</f>
        <v>Grs</v>
      </c>
      <c r="F957" s="70">
        <v>200.0</v>
      </c>
      <c r="G957" s="70">
        <f>IFERROR(VLOOKUP($D957,Insumos!$B:$U,G$1,0)/VLOOKUP($D957,Insumos!$B:$U,F$1,0),"")</f>
        <v>0.75</v>
      </c>
      <c r="H957" s="70">
        <f t="shared" si="66"/>
        <v>150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3">
        <f t="shared" si="410"/>
        <v>104</v>
      </c>
      <c r="C958" s="13" t="str">
        <f t="shared" si="411"/>
        <v>Chips de pollo DOCENA</v>
      </c>
      <c r="D958" s="13" t="s">
        <v>427</v>
      </c>
      <c r="E958" s="13" t="str">
        <f>IFERROR(VLOOKUP($D958,Insumos!$B:$U,D$1,0),"")</f>
        <v>Unidad</v>
      </c>
      <c r="F958" s="70">
        <v>1.0</v>
      </c>
      <c r="G958" s="70">
        <f>IFERROR(VLOOKUP($D958,Insumos!$B:$U,G$1,0)/VLOOKUP($D958,Insumos!$B:$U,F$1,0),"")</f>
        <v>358</v>
      </c>
      <c r="H958" s="70">
        <f t="shared" si="66"/>
        <v>358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3">
        <f t="shared" si="410"/>
        <v>104</v>
      </c>
      <c r="C959" s="13" t="str">
        <f t="shared" si="411"/>
        <v>Chips de pollo DOCENA</v>
      </c>
      <c r="D959" s="13" t="s">
        <v>509</v>
      </c>
      <c r="E959" s="13" t="str">
        <f>IFERROR(VLOOKUP($D959,Insumos!$B:$U,D$1,0),"")</f>
        <v>Grs</v>
      </c>
      <c r="F959" s="70">
        <v>180.0</v>
      </c>
      <c r="G959" s="70">
        <f>IFERROR(VLOOKUP($D959,Insumos!$B:$U,G$1,0)/VLOOKUP($D959,Insumos!$B:$U,F$1,0),"")</f>
        <v>3.48</v>
      </c>
      <c r="H959" s="70">
        <f t="shared" si="66"/>
        <v>626.4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81">
        <f t="shared" si="410"/>
        <v>104</v>
      </c>
      <c r="C960" s="81" t="str">
        <f t="shared" si="411"/>
        <v>Chips de pollo DOCENA</v>
      </c>
      <c r="D960" s="81" t="s">
        <v>498</v>
      </c>
      <c r="E960" s="81" t="str">
        <f>IFERROR(VLOOKUP($D960,Insumos!$B:$U,D$1,0),"")</f>
        <v>Grs</v>
      </c>
      <c r="F960" s="82">
        <v>50.0</v>
      </c>
      <c r="G960" s="82">
        <f>IFERROR(VLOOKUP($D960,Insumos!$B:$U,G$1,0)/VLOOKUP($D960,Insumos!$B:$U,F$1,0),"")</f>
        <v>1.5</v>
      </c>
      <c r="H960" s="82">
        <f t="shared" si="66"/>
        <v>75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3">
        <v>105.0</v>
      </c>
      <c r="C961" s="13" t="s">
        <v>705</v>
      </c>
      <c r="D961" s="13" t="s">
        <v>454</v>
      </c>
      <c r="E961" s="13" t="str">
        <f>IFERROR(VLOOKUP($D961,Insumos!$B:$U,D$1,0),"")</f>
        <v>Grs</v>
      </c>
      <c r="F961" s="70">
        <v>150.0</v>
      </c>
      <c r="G961" s="70">
        <f>IFERROR(VLOOKUP($D961,Insumos!$B:$U,G$1,0)/VLOOKUP($D961,Insumos!$B:$U,F$1,0),"")</f>
        <v>10</v>
      </c>
      <c r="H961" s="70">
        <f t="shared" si="66"/>
        <v>1500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3">
        <f t="shared" ref="B962:B964" si="412">IF($D961="","",B961)</f>
        <v>105</v>
      </c>
      <c r="C962" s="13" t="str">
        <f t="shared" ref="C962:C964" si="413">IF($D962="","",C961)</f>
        <v>Medalla de chocolate x3</v>
      </c>
      <c r="D962" s="13" t="s">
        <v>460</v>
      </c>
      <c r="E962" s="13" t="str">
        <f>IFERROR(VLOOKUP($D962,Insumos!$B:$U,D$1,0),"")</f>
        <v>Grs</v>
      </c>
      <c r="F962" s="70">
        <v>5.0</v>
      </c>
      <c r="G962" s="70">
        <f>IFERROR(VLOOKUP($D962,Insumos!$B:$U,G$1,0)/VLOOKUP($D962,Insumos!$B:$U,F$1,0),"")</f>
        <v>333.3333333</v>
      </c>
      <c r="H962" s="70">
        <f t="shared" si="66"/>
        <v>1666.666667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3">
        <f t="shared" si="412"/>
        <v>105</v>
      </c>
      <c r="C963" s="13" t="str">
        <f t="shared" si="413"/>
        <v>Medalla de chocolate x3</v>
      </c>
      <c r="D963" s="13" t="s">
        <v>414</v>
      </c>
      <c r="E963" s="13" t="str">
        <f>IFERROR(VLOOKUP($D963,Insumos!$B:$U,D$1,0),"")</f>
        <v>Unidad</v>
      </c>
      <c r="F963" s="70">
        <v>1.0</v>
      </c>
      <c r="G963" s="70">
        <f>IFERROR(VLOOKUP($D963,Insumos!$B:$U,G$1,0)/VLOOKUP($D963,Insumos!$B:$U,F$1,0),"")</f>
        <v>100</v>
      </c>
      <c r="H963" s="70">
        <f t="shared" si="66"/>
        <v>100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81">
        <f t="shared" si="412"/>
        <v>105</v>
      </c>
      <c r="C964" s="81" t="str">
        <f t="shared" si="413"/>
        <v>Medalla de chocolate x3</v>
      </c>
      <c r="D964" s="81" t="s">
        <v>471</v>
      </c>
      <c r="E964" s="81" t="str">
        <f>IFERROR(VLOOKUP($D964,Insumos!$B:$U,D$1,0),"")</f>
        <v>Unidad</v>
      </c>
      <c r="F964" s="82">
        <v>1.0</v>
      </c>
      <c r="G964" s="82">
        <f>IFERROR(VLOOKUP($D964,Insumos!$B:$U,G$1,0)/VLOOKUP($D964,Insumos!$B:$U,F$1,0),"")</f>
        <v>12.66666667</v>
      </c>
      <c r="H964" s="82">
        <f t="shared" si="66"/>
        <v>12.66666667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3">
        <v>106.0</v>
      </c>
      <c r="C965" s="13" t="s">
        <v>706</v>
      </c>
      <c r="D965" s="13" t="s">
        <v>499</v>
      </c>
      <c r="E965" s="13" t="str">
        <f>IFERROR(VLOOKUP($D965,Insumos!$B:$U,D$1,0),"")</f>
        <v>Grs</v>
      </c>
      <c r="F965" s="70">
        <v>67.0</v>
      </c>
      <c r="G965" s="70">
        <f>IFERROR(VLOOKUP($D965,Insumos!$B:$U,G$1,0)/VLOOKUP($D965,Insumos!$B:$U,F$1,0),"")</f>
        <v>8</v>
      </c>
      <c r="H965" s="70">
        <f t="shared" si="66"/>
        <v>536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3">
        <f t="shared" ref="B966:B967" si="414">IF($D965="","",B965)</f>
        <v>106</v>
      </c>
      <c r="C966" s="13" t="str">
        <f t="shared" ref="C966:C967" si="415">IF($D966="","",C965)</f>
        <v>Figacitas de manteca 36 unidades</v>
      </c>
      <c r="D966" s="13" t="s">
        <v>489</v>
      </c>
      <c r="E966" s="13" t="str">
        <f>IFERROR(VLOOKUP($D966,Insumos!$B:$U,D$1,0),"")</f>
        <v>Grs</v>
      </c>
      <c r="F966" s="70">
        <v>1000.0</v>
      </c>
      <c r="G966" s="70">
        <f>IFERROR(VLOOKUP($D966,Insumos!$B:$U,G$1,0)/VLOOKUP($D966,Insumos!$B:$U,F$1,0),"")</f>
        <v>0.82</v>
      </c>
      <c r="H966" s="70">
        <f t="shared" si="66"/>
        <v>820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81">
        <f t="shared" si="414"/>
        <v>106</v>
      </c>
      <c r="C967" s="81" t="str">
        <f t="shared" si="415"/>
        <v>Figacitas de manteca 36 unidades</v>
      </c>
      <c r="D967" s="81" t="s">
        <v>505</v>
      </c>
      <c r="E967" s="81" t="str">
        <f>IFERROR(VLOOKUP($D967,Insumos!$B:$U,D$1,0),"")</f>
        <v>Grs</v>
      </c>
      <c r="F967" s="82">
        <v>200.0</v>
      </c>
      <c r="G967" s="82">
        <f>IFERROR(VLOOKUP($D967,Insumos!$B:$U,G$1,0)/VLOOKUP($D967,Insumos!$B:$U,F$1,0),"")</f>
        <v>11</v>
      </c>
      <c r="H967" s="82">
        <f t="shared" si="66"/>
        <v>2200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3">
        <v>107.0</v>
      </c>
      <c r="C968" s="13" t="s">
        <v>707</v>
      </c>
      <c r="D968" s="13" t="s">
        <v>489</v>
      </c>
      <c r="E968" s="13" t="str">
        <f>IFERROR(VLOOKUP($D968,Insumos!$B:$U,D$1,0),"")</f>
        <v>Grs</v>
      </c>
      <c r="F968" s="70">
        <v>400.0</v>
      </c>
      <c r="G968" s="70">
        <f>IFERROR(VLOOKUP($D968,Insumos!$B:$U,G$1,0)/VLOOKUP($D968,Insumos!$B:$U,F$1,0),"")</f>
        <v>0.82</v>
      </c>
      <c r="H968" s="70">
        <f t="shared" si="66"/>
        <v>328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3">
        <f t="shared" ref="B969:B971" si="416">IF($D968="","",B968)</f>
        <v>107</v>
      </c>
      <c r="C969" s="13" t="str">
        <f t="shared" ref="C969:C971" si="417">IF($D969="","",C968)</f>
        <v>Focaccia </v>
      </c>
      <c r="D969" s="13" t="s">
        <v>499</v>
      </c>
      <c r="E969" s="13" t="str">
        <f>IFERROR(VLOOKUP($D969,Insumos!$B:$U,D$1,0),"")</f>
        <v>Grs</v>
      </c>
      <c r="F969" s="70">
        <v>20.0</v>
      </c>
      <c r="G969" s="70">
        <f>IFERROR(VLOOKUP($D969,Insumos!$B:$U,G$1,0)/VLOOKUP($D969,Insumos!$B:$U,F$1,0),"")</f>
        <v>8</v>
      </c>
      <c r="H969" s="70">
        <f t="shared" si="66"/>
        <v>160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3">
        <f t="shared" si="416"/>
        <v>107</v>
      </c>
      <c r="C970" s="13" t="str">
        <f t="shared" si="417"/>
        <v>Focaccia </v>
      </c>
      <c r="D970" s="13" t="s">
        <v>388</v>
      </c>
      <c r="E970" s="13" t="str">
        <f>IFERROR(VLOOKUP($D970,Insumos!$B:$U,D$1,0),"")</f>
        <v>Cm3</v>
      </c>
      <c r="F970" s="70">
        <v>50.0</v>
      </c>
      <c r="G970" s="70">
        <f>IFERROR(VLOOKUP($D970,Insumos!$B:$U,G$1,0)/VLOOKUP($D970,Insumos!$B:$U,F$1,0),"")</f>
        <v>1.285714286</v>
      </c>
      <c r="H970" s="70">
        <f t="shared" si="66"/>
        <v>64.28571429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81">
        <f t="shared" si="416"/>
        <v>107</v>
      </c>
      <c r="C971" s="81" t="str">
        <f t="shared" si="417"/>
        <v>Focaccia </v>
      </c>
      <c r="D971" s="81" t="s">
        <v>548</v>
      </c>
      <c r="E971" s="81" t="str">
        <f>IFERROR(VLOOKUP($D971,Insumos!$B:$U,D$1,0),"")</f>
        <v>Grs</v>
      </c>
      <c r="F971" s="82">
        <v>150.0</v>
      </c>
      <c r="G971" s="82">
        <f>IFERROR(VLOOKUP($D971,Insumos!$B:$U,G$1,0)/VLOOKUP($D971,Insumos!$B:$U,F$1,0),"")</f>
        <v>0.75</v>
      </c>
      <c r="H971" s="82">
        <f t="shared" si="66"/>
        <v>112.5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3">
        <v>108.0</v>
      </c>
      <c r="C972" s="13" t="s">
        <v>708</v>
      </c>
      <c r="D972" s="13" t="s">
        <v>505</v>
      </c>
      <c r="E972" s="13" t="str">
        <f>IFERROR(VLOOKUP($D972,Insumos!$B:$U,D$1,0),"")</f>
        <v>Grs</v>
      </c>
      <c r="F972" s="70">
        <v>175.0</v>
      </c>
      <c r="G972" s="70">
        <f>IFERROR(VLOOKUP($D972,Insumos!$B:$U,G$1,0)/VLOOKUP($D972,Insumos!$B:$U,F$1,0),"")</f>
        <v>11</v>
      </c>
      <c r="H972" s="70">
        <f t="shared" si="66"/>
        <v>1925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3">
        <f t="shared" ref="B973:B975" si="418">IF($D972="","",B972)</f>
        <v>108</v>
      </c>
      <c r="C973" s="13" t="str">
        <f t="shared" ref="C973:C975" si="419">IF($D973="","",C972)</f>
        <v>Pastelitos nuevos</v>
      </c>
      <c r="D973" s="13" t="s">
        <v>488</v>
      </c>
      <c r="E973" s="13" t="str">
        <f>IFERROR(VLOOKUP($D973,Insumos!$B:$U,D$1,0),"")</f>
        <v>Grs</v>
      </c>
      <c r="F973" s="70">
        <v>250.0</v>
      </c>
      <c r="G973" s="93">
        <f>IFERROR(VLOOKUP($D973,Insumos!$B:$U,G$1,0)/VLOOKUP($D973,Insumos!$B:$U,F$1,0),"")</f>
        <v>0.79</v>
      </c>
      <c r="H973" s="70">
        <f t="shared" si="66"/>
        <v>197.5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3">
        <f t="shared" si="418"/>
        <v>108</v>
      </c>
      <c r="C974" s="13" t="str">
        <f t="shared" si="419"/>
        <v>Pastelitos nuevos</v>
      </c>
      <c r="D974" s="13" t="s">
        <v>510</v>
      </c>
      <c r="E974" s="13" t="str">
        <f>IFERROR(VLOOKUP($D974,Insumos!$B:$U,D$1,0),"")</f>
        <v>Grs</v>
      </c>
      <c r="F974" s="70">
        <v>250.0</v>
      </c>
      <c r="G974" s="70">
        <f>IFERROR(VLOOKUP($D974,Insumos!$B:$U,G$1,0)/VLOOKUP($D974,Insumos!$B:$U,F$1,0),"")</f>
        <v>3.89</v>
      </c>
      <c r="H974" s="70">
        <f t="shared" si="66"/>
        <v>972.5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3">
        <f t="shared" si="418"/>
        <v>108</v>
      </c>
      <c r="C975" s="13" t="str">
        <f t="shared" si="419"/>
        <v>Pastelitos nuevos</v>
      </c>
      <c r="D975" s="13" t="s">
        <v>709</v>
      </c>
      <c r="E975" s="13" t="str">
        <f>IFERROR(VLOOKUP($D975,Insumos!$B:$U,D$1,0),"")</f>
        <v/>
      </c>
      <c r="F975" s="70">
        <v>1.0</v>
      </c>
      <c r="G975" s="93" t="str">
        <f>IFERROR(VLOOKUP($D975,Insumos!$B:$U,G$1,0)/VLOOKUP($D975,Insumos!$B:$U,F$1,0),"")</f>
        <v/>
      </c>
      <c r="H975" s="70">
        <f t="shared" si="66"/>
        <v>0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66">
        <v>109.0</v>
      </c>
      <c r="C976" s="66" t="s">
        <v>710</v>
      </c>
      <c r="D976" s="66" t="s">
        <v>489</v>
      </c>
      <c r="E976" s="66" t="str">
        <f>IFERROR(VLOOKUP($D976,Insumos!$B:$U,D$1,0),"")</f>
        <v>Grs</v>
      </c>
      <c r="F976" s="67">
        <v>400.0</v>
      </c>
      <c r="G976" s="67">
        <f>IFERROR(VLOOKUP($D976,Insumos!$B:$U,G$1,0)/VLOOKUP($D976,Insumos!$B:$U,F$1,0),"")</f>
        <v>0.82</v>
      </c>
      <c r="H976" s="67">
        <f t="shared" si="66"/>
        <v>328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3">
        <f t="shared" ref="B977:B980" si="420">IF($D976="","",B976)</f>
        <v>109</v>
      </c>
      <c r="C977" s="13" t="str">
        <f t="shared" ref="C977:C980" si="421">IF($D977="","",C976)</f>
        <v>Scons de queso x16 unidades</v>
      </c>
      <c r="D977" s="13" t="s">
        <v>462</v>
      </c>
      <c r="E977" s="13" t="str">
        <f>IFERROR(VLOOKUP($D977,Insumos!$B:$U,D$1,0),"")</f>
        <v>Grs</v>
      </c>
      <c r="F977" s="70">
        <v>120.0</v>
      </c>
      <c r="G977" s="70">
        <f>IFERROR(VLOOKUP($D977,Insumos!$B:$U,G$1,0)/VLOOKUP($D977,Insumos!$B:$U,F$1,0),"")</f>
        <v>9.2</v>
      </c>
      <c r="H977" s="70">
        <f t="shared" si="66"/>
        <v>1104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3">
        <f t="shared" si="420"/>
        <v>109</v>
      </c>
      <c r="C978" s="13" t="str">
        <f t="shared" si="421"/>
        <v>Scons de queso x16 unidades</v>
      </c>
      <c r="D978" s="13" t="s">
        <v>505</v>
      </c>
      <c r="E978" s="13" t="str">
        <f>IFERROR(VLOOKUP($D978,Insumos!$B:$U,D$1,0),"")</f>
        <v>Grs</v>
      </c>
      <c r="F978" s="70">
        <v>100.0</v>
      </c>
      <c r="G978" s="70">
        <f>IFERROR(VLOOKUP($D978,Insumos!$B:$U,G$1,0)/VLOOKUP($D978,Insumos!$B:$U,F$1,0),"")</f>
        <v>11</v>
      </c>
      <c r="H978" s="70">
        <f t="shared" si="66"/>
        <v>1100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3">
        <f t="shared" si="420"/>
        <v>109</v>
      </c>
      <c r="C979" s="13" t="str">
        <f t="shared" si="421"/>
        <v>Scons de queso x16 unidades</v>
      </c>
      <c r="D979" s="13" t="s">
        <v>492</v>
      </c>
      <c r="E979" s="13" t="str">
        <f>IFERROR(VLOOKUP($D979,Insumos!$B:$U,D$1,0),"")</f>
        <v>Unidad</v>
      </c>
      <c r="F979" s="70">
        <v>2.0</v>
      </c>
      <c r="G979" s="70">
        <f>IFERROR(VLOOKUP($D979,Insumos!$B:$U,G$1,0)/VLOOKUP($D979,Insumos!$B:$U,F$1,0),"")</f>
        <v>166.6666667</v>
      </c>
      <c r="H979" s="70">
        <f t="shared" si="66"/>
        <v>333.3333333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81">
        <f t="shared" si="420"/>
        <v>109</v>
      </c>
      <c r="C980" s="81" t="str">
        <f t="shared" si="421"/>
        <v>Scons de queso x16 unidades</v>
      </c>
      <c r="D980" s="81" t="s">
        <v>535</v>
      </c>
      <c r="E980" s="81" t="str">
        <f>IFERROR(VLOOKUP($D980,Insumos!$B:$U,D$1,0),"")</f>
        <v>Grs</v>
      </c>
      <c r="F980" s="82">
        <v>150.0</v>
      </c>
      <c r="G980" s="82">
        <f>IFERROR(VLOOKUP($D980,Insumos!$B:$U,G$1,0)/VLOOKUP($D980,Insumos!$B:$U,F$1,0),"")</f>
        <v>18</v>
      </c>
      <c r="H980" s="82">
        <f t="shared" si="66"/>
        <v>2700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3">
        <v>110.0</v>
      </c>
      <c r="C981" s="13" t="s">
        <v>711</v>
      </c>
      <c r="D981" s="13" t="str">
        <f t="shared" ref="D981:D989" si="422">D226</f>
        <v>Manteca</v>
      </c>
      <c r="E981" s="13" t="str">
        <f>IFERROR(VLOOKUP($D981,Insumos!$B:$U,D$1,0),"")</f>
        <v>Grs</v>
      </c>
      <c r="F981" s="70">
        <f t="shared" ref="F981:F989" si="423">F226/25*2</f>
        <v>4</v>
      </c>
      <c r="G981" s="70">
        <f>IFERROR(VLOOKUP($D981,Insumos!$B:$U,G$1,0)/VLOOKUP($D981,Insumos!$B:$U,F$1,0),"")</f>
        <v>11</v>
      </c>
      <c r="H981" s="70">
        <f t="shared" si="66"/>
        <v>44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3">
        <f t="shared" ref="B982:B1012" si="424">IF($D981="","",B981)</f>
        <v>110</v>
      </c>
      <c r="C982" s="13" t="str">
        <f t="shared" ref="C982:C1012" si="425">IF($D982="","",C981)</f>
        <v>Desayuno Día del Padre 2023</v>
      </c>
      <c r="D982" s="13" t="str">
        <f t="shared" si="422"/>
        <v>Azúcar impalpable</v>
      </c>
      <c r="E982" s="13" t="str">
        <f>IFERROR(VLOOKUP($D982,Insumos!$B:$U,D$1,0),"")</f>
        <v>Grs</v>
      </c>
      <c r="F982" s="70">
        <f t="shared" si="423"/>
        <v>4</v>
      </c>
      <c r="G982" s="70">
        <f>IFERROR(VLOOKUP($D982,Insumos!$B:$U,G$1,0)/VLOOKUP($D982,Insumos!$B:$U,F$1,0),"")</f>
        <v>1.5</v>
      </c>
      <c r="H982" s="70">
        <f t="shared" si="66"/>
        <v>6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3">
        <f t="shared" si="424"/>
        <v>110</v>
      </c>
      <c r="C983" s="13" t="str">
        <f t="shared" si="425"/>
        <v>Desayuno Día del Padre 2023</v>
      </c>
      <c r="D983" s="13" t="str">
        <f t="shared" si="422"/>
        <v>huevo</v>
      </c>
      <c r="E983" s="13" t="str">
        <f>IFERROR(VLOOKUP($D983,Insumos!$B:$U,D$1,0),"")</f>
        <v>Unidad</v>
      </c>
      <c r="F983" s="70">
        <f t="shared" si="423"/>
        <v>0.32</v>
      </c>
      <c r="G983" s="70">
        <f>IFERROR(VLOOKUP($D983,Insumos!$B:$U,G$1,0)/VLOOKUP($D983,Insumos!$B:$U,F$1,0),"")</f>
        <v>166.6666667</v>
      </c>
      <c r="H983" s="70">
        <f t="shared" si="66"/>
        <v>53.33333333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3">
        <f t="shared" si="424"/>
        <v>110</v>
      </c>
      <c r="C984" s="13" t="str">
        <f t="shared" si="425"/>
        <v>Desayuno Día del Padre 2023</v>
      </c>
      <c r="D984" s="13" t="str">
        <f t="shared" si="422"/>
        <v>Bicarbonato de sodio</v>
      </c>
      <c r="E984" s="13" t="str">
        <f>IFERROR(VLOOKUP($D984,Insumos!$B:$U,D$1,0),"")</f>
        <v>Grs</v>
      </c>
      <c r="F984" s="70">
        <f t="shared" si="423"/>
        <v>0.16</v>
      </c>
      <c r="G984" s="70">
        <f>IFERROR(VLOOKUP($D984,Insumos!$B:$U,G$1,0)/VLOOKUP($D984,Insumos!$B:$U,F$1,0),"")</f>
        <v>16.64</v>
      </c>
      <c r="H984" s="70">
        <f t="shared" si="66"/>
        <v>2.6624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3">
        <f t="shared" si="424"/>
        <v>110</v>
      </c>
      <c r="C985" s="13" t="str">
        <f t="shared" si="425"/>
        <v>Desayuno Día del Padre 2023</v>
      </c>
      <c r="D985" s="13" t="str">
        <f t="shared" si="422"/>
        <v>Maicena </v>
      </c>
      <c r="E985" s="13" t="str">
        <f>IFERROR(VLOOKUP($D985,Insumos!$B:$U,D$1,0),"")</f>
        <v>Grs</v>
      </c>
      <c r="F985" s="70">
        <f t="shared" si="423"/>
        <v>12</v>
      </c>
      <c r="G985" s="70">
        <f>IFERROR(VLOOKUP($D985,Insumos!$B:$U,G$1,0)/VLOOKUP($D985,Insumos!$B:$U,F$1,0),"")</f>
        <v>2.8</v>
      </c>
      <c r="H985" s="70">
        <f t="shared" si="66"/>
        <v>33.6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3">
        <f t="shared" si="424"/>
        <v>110</v>
      </c>
      <c r="C986" s="13" t="str">
        <f t="shared" si="425"/>
        <v>Desayuno Día del Padre 2023</v>
      </c>
      <c r="D986" s="13" t="str">
        <f t="shared" si="422"/>
        <v>harina leudante</v>
      </c>
      <c r="E986" s="13" t="str">
        <f>IFERROR(VLOOKUP($D986,Insumos!$B:$U,D$1,0),"")</f>
        <v>Grs</v>
      </c>
      <c r="F986" s="70">
        <f t="shared" si="423"/>
        <v>4</v>
      </c>
      <c r="G986" s="70">
        <f>IFERROR(VLOOKUP($D986,Insumos!$B:$U,G$1,0)/VLOOKUP($D986,Insumos!$B:$U,F$1,0),"")</f>
        <v>1.5</v>
      </c>
      <c r="H986" s="70">
        <f t="shared" si="66"/>
        <v>6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3">
        <f t="shared" si="424"/>
        <v>110</v>
      </c>
      <c r="C987" s="13" t="str">
        <f t="shared" si="425"/>
        <v>Desayuno Día del Padre 2023</v>
      </c>
      <c r="D987" s="13" t="str">
        <f t="shared" si="422"/>
        <v>Limón</v>
      </c>
      <c r="E987" s="13" t="str">
        <f>IFERROR(VLOOKUP($D987,Insumos!$B:$U,D$1,0),"")</f>
        <v>Unidad</v>
      </c>
      <c r="F987" s="70">
        <f t="shared" si="423"/>
        <v>0.04</v>
      </c>
      <c r="G987" s="70">
        <f>IFERROR(VLOOKUP($D987,Insumos!$B:$U,G$1,0)/VLOOKUP($D987,Insumos!$B:$U,F$1,0),"")</f>
        <v>180</v>
      </c>
      <c r="H987" s="70">
        <f t="shared" si="66"/>
        <v>7.2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3">
        <f t="shared" si="424"/>
        <v>110</v>
      </c>
      <c r="C988" s="13" t="str">
        <f t="shared" si="425"/>
        <v>Desayuno Día del Padre 2023</v>
      </c>
      <c r="D988" s="13" t="str">
        <f t="shared" si="422"/>
        <v>Coco rayado</v>
      </c>
      <c r="E988" s="13" t="str">
        <f>IFERROR(VLOOKUP($D988,Insumos!$B:$U,D$1,0),"")</f>
        <v>Grs</v>
      </c>
      <c r="F988" s="70">
        <f t="shared" si="423"/>
        <v>4</v>
      </c>
      <c r="G988" s="70">
        <f>IFERROR(VLOOKUP($D988,Insumos!$B:$U,G$1,0)/VLOOKUP($D988,Insumos!$B:$U,F$1,0),"")</f>
        <v>10.5</v>
      </c>
      <c r="H988" s="70">
        <f t="shared" si="66"/>
        <v>42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3">
        <f t="shared" si="424"/>
        <v>110</v>
      </c>
      <c r="C989" s="13" t="str">
        <f t="shared" si="425"/>
        <v>Desayuno Día del Padre 2023</v>
      </c>
      <c r="D989" s="13" t="str">
        <f t="shared" si="422"/>
        <v>Dulce de leche</v>
      </c>
      <c r="E989" s="13" t="str">
        <f>IFERROR(VLOOKUP($D989,Insumos!$B:$U,D$1,0),"")</f>
        <v>Grs</v>
      </c>
      <c r="F989" s="70">
        <f t="shared" si="423"/>
        <v>16</v>
      </c>
      <c r="G989" s="70">
        <f>IFERROR(VLOOKUP($D989,Insumos!$B:$U,G$1,0)/VLOOKUP($D989,Insumos!$B:$U,F$1,0),"")</f>
        <v>3.4</v>
      </c>
      <c r="H989" s="70">
        <f t="shared" si="66"/>
        <v>54.4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3">
        <f t="shared" si="424"/>
        <v>110</v>
      </c>
      <c r="C990" s="13" t="str">
        <f t="shared" si="425"/>
        <v>Desayuno Día del Padre 2023</v>
      </c>
      <c r="D990" s="13" t="str">
        <f t="shared" ref="D990:D993" si="426">D96</f>
        <v>Huevo</v>
      </c>
      <c r="E990" s="13" t="str">
        <f>IFERROR(VLOOKUP($D990,Insumos!$B:$U,D$1,0),"")</f>
        <v>Unidad</v>
      </c>
      <c r="F990" s="70">
        <f t="shared" ref="F990:F993" si="427">F96/20*2</f>
        <v>0.1</v>
      </c>
      <c r="G990" s="70">
        <f>IFERROR(VLOOKUP($D990,Insumos!$B:$U,G$1,0)/VLOOKUP($D990,Insumos!$B:$U,F$1,0),"")</f>
        <v>166.6666667</v>
      </c>
      <c r="H990" s="70">
        <f t="shared" si="66"/>
        <v>16.66666667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3">
        <f t="shared" si="424"/>
        <v>110</v>
      </c>
      <c r="C991" s="13" t="str">
        <f t="shared" si="425"/>
        <v>Desayuno Día del Padre 2023</v>
      </c>
      <c r="D991" s="13" t="str">
        <f t="shared" si="426"/>
        <v>Azúcar</v>
      </c>
      <c r="E991" s="13" t="str">
        <f>IFERROR(VLOOKUP($D991,Insumos!$B:$U,D$1,0),"")</f>
        <v>Grs</v>
      </c>
      <c r="F991" s="70">
        <f t="shared" si="427"/>
        <v>7.5</v>
      </c>
      <c r="G991" s="70">
        <f>IFERROR(VLOOKUP($D991,Insumos!$B:$U,G$1,0)/VLOOKUP($D991,Insumos!$B:$U,F$1,0),"")</f>
        <v>1.4</v>
      </c>
      <c r="H991" s="70">
        <f t="shared" si="66"/>
        <v>10.5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3">
        <f t="shared" si="424"/>
        <v>110</v>
      </c>
      <c r="C992" s="13" t="str">
        <f t="shared" si="425"/>
        <v>Desayuno Día del Padre 2023</v>
      </c>
      <c r="D992" s="13" t="str">
        <f t="shared" si="426"/>
        <v>Manteca</v>
      </c>
      <c r="E992" s="13" t="str">
        <f>IFERROR(VLOOKUP($D992,Insumos!$B:$U,D$1,0),"")</f>
        <v>Grs</v>
      </c>
      <c r="F992" s="70">
        <f t="shared" si="427"/>
        <v>7.5</v>
      </c>
      <c r="G992" s="70">
        <f>IFERROR(VLOOKUP($D992,Insumos!$B:$U,G$1,0)/VLOOKUP($D992,Insumos!$B:$U,F$1,0),"")</f>
        <v>11</v>
      </c>
      <c r="H992" s="70">
        <f t="shared" si="66"/>
        <v>82.5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3">
        <f t="shared" si="424"/>
        <v>110</v>
      </c>
      <c r="C993" s="13" t="str">
        <f t="shared" si="425"/>
        <v>Desayuno Día del Padre 2023</v>
      </c>
      <c r="D993" s="13" t="str">
        <f t="shared" si="426"/>
        <v>Harina 0000</v>
      </c>
      <c r="E993" s="13" t="str">
        <f>IFERROR(VLOOKUP($D993,Insumos!$B:$U,D$1,0),"")</f>
        <v>Grs</v>
      </c>
      <c r="F993" s="70">
        <f t="shared" si="427"/>
        <v>7.5</v>
      </c>
      <c r="G993" s="70">
        <f>IFERROR(VLOOKUP($D993,Insumos!$B:$U,G$1,0)/VLOOKUP($D993,Insumos!$B:$U,F$1,0),"")</f>
        <v>0.82</v>
      </c>
      <c r="H993" s="70">
        <f t="shared" si="66"/>
        <v>6.15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3">
        <f t="shared" si="424"/>
        <v>110</v>
      </c>
      <c r="C994" s="13" t="str">
        <f t="shared" si="425"/>
        <v>Desayuno Día del Padre 2023</v>
      </c>
      <c r="D994" s="13" t="str">
        <f t="shared" ref="D994:D995" si="428">D101</f>
        <v>Nuez</v>
      </c>
      <c r="E994" s="13" t="str">
        <f>IFERROR(VLOOKUP($D994,Insumos!$B:$U,D$1,0),"")</f>
        <v>Grs</v>
      </c>
      <c r="F994" s="70">
        <f t="shared" ref="F994:F995" si="429">F101/20*2</f>
        <v>7.5</v>
      </c>
      <c r="G994" s="70">
        <f>IFERROR(VLOOKUP($D994,Insumos!$B:$U,G$1,0)/VLOOKUP($D994,Insumos!$B:$U,F$1,0),"")</f>
        <v>19</v>
      </c>
      <c r="H994" s="70">
        <f t="shared" si="66"/>
        <v>142.5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3">
        <f t="shared" si="424"/>
        <v>110</v>
      </c>
      <c r="C995" s="13" t="str">
        <f t="shared" si="425"/>
        <v>Desayuno Día del Padre 2023</v>
      </c>
      <c r="D995" s="13" t="str">
        <f t="shared" si="428"/>
        <v>Dulce de leche</v>
      </c>
      <c r="E995" s="13" t="str">
        <f>IFERROR(VLOOKUP($D995,Insumos!$B:$U,D$1,0),"")</f>
        <v>Grs</v>
      </c>
      <c r="F995" s="70">
        <f t="shared" si="429"/>
        <v>20</v>
      </c>
      <c r="G995" s="70">
        <f>IFERROR(VLOOKUP($D995,Insumos!$B:$U,G$1,0)/VLOOKUP($D995,Insumos!$B:$U,F$1,0),"")</f>
        <v>3.4</v>
      </c>
      <c r="H995" s="70">
        <f t="shared" si="66"/>
        <v>68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3">
        <f t="shared" si="424"/>
        <v>110</v>
      </c>
      <c r="C996" s="13" t="str">
        <f t="shared" si="425"/>
        <v>Desayuno Día del Padre 2023</v>
      </c>
      <c r="D996" s="13" t="str">
        <f t="shared" ref="D996:D1004" si="430">D12</f>
        <v>Azúcar</v>
      </c>
      <c r="E996" s="13" t="str">
        <f>IFERROR(VLOOKUP($D996,Insumos!$B:$U,D$1,0),"")</f>
        <v>Grs</v>
      </c>
      <c r="F996" s="70">
        <f t="shared" ref="F996:F1003" si="431">F12/10*3</f>
        <v>15.6</v>
      </c>
      <c r="G996" s="70">
        <f>IFERROR(VLOOKUP($D996,Insumos!$B:$U,G$1,0)/VLOOKUP($D996,Insumos!$B:$U,F$1,0),"")</f>
        <v>1.4</v>
      </c>
      <c r="H996" s="70">
        <f t="shared" si="66"/>
        <v>21.84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3">
        <f t="shared" si="424"/>
        <v>110</v>
      </c>
      <c r="C997" s="13" t="str">
        <f t="shared" si="425"/>
        <v>Desayuno Día del Padre 2023</v>
      </c>
      <c r="D997" s="13" t="str">
        <f t="shared" si="430"/>
        <v>Harina de almendras</v>
      </c>
      <c r="E997" s="13" t="str">
        <f>IFERROR(VLOOKUP($D997,Insumos!$B:$U,D$1,0),"")</f>
        <v>Grs</v>
      </c>
      <c r="F997" s="70">
        <f t="shared" si="431"/>
        <v>7.8</v>
      </c>
      <c r="G997" s="70">
        <f>IFERROR(VLOOKUP($D997,Insumos!$B:$U,G$1,0)/VLOOKUP($D997,Insumos!$B:$U,F$1,0),"")</f>
        <v>32</v>
      </c>
      <c r="H997" s="70">
        <f t="shared" si="66"/>
        <v>249.6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3">
        <f t="shared" si="424"/>
        <v>110</v>
      </c>
      <c r="C998" s="13" t="str">
        <f t="shared" si="425"/>
        <v>Desayuno Día del Padre 2023</v>
      </c>
      <c r="D998" s="13" t="str">
        <f t="shared" si="430"/>
        <v>Huevo</v>
      </c>
      <c r="E998" s="13" t="str">
        <f>IFERROR(VLOOKUP($D998,Insumos!$B:$U,D$1,0),"")</f>
        <v>Unidad</v>
      </c>
      <c r="F998" s="70">
        <f t="shared" si="431"/>
        <v>0.24</v>
      </c>
      <c r="G998" s="70">
        <f>IFERROR(VLOOKUP($D998,Insumos!$B:$U,G$1,0)/VLOOKUP($D998,Insumos!$B:$U,F$1,0),"")</f>
        <v>166.6666667</v>
      </c>
      <c r="H998" s="70">
        <f t="shared" si="66"/>
        <v>40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3">
        <f t="shared" si="424"/>
        <v>110</v>
      </c>
      <c r="C999" s="13" t="str">
        <f t="shared" si="425"/>
        <v>Desayuno Día del Padre 2023</v>
      </c>
      <c r="D999" s="13" t="str">
        <f t="shared" si="430"/>
        <v>Azúcar impalpable</v>
      </c>
      <c r="E999" s="13" t="str">
        <f>IFERROR(VLOOKUP($D999,Insumos!$B:$U,D$1,0),"")</f>
        <v>Grs</v>
      </c>
      <c r="F999" s="70">
        <f t="shared" si="431"/>
        <v>7.8</v>
      </c>
      <c r="G999" s="70">
        <f>IFERROR(VLOOKUP($D999,Insumos!$B:$U,G$1,0)/VLOOKUP($D999,Insumos!$B:$U,F$1,0),"")</f>
        <v>1.5</v>
      </c>
      <c r="H999" s="70">
        <f t="shared" si="66"/>
        <v>11.7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3">
        <f t="shared" si="424"/>
        <v>110</v>
      </c>
      <c r="C1000" s="13" t="str">
        <f t="shared" si="425"/>
        <v>Desayuno Día del Padre 2023</v>
      </c>
      <c r="D1000" s="13" t="str">
        <f t="shared" si="430"/>
        <v>Colorante</v>
      </c>
      <c r="E1000" s="13" t="str">
        <f>IFERROR(VLOOKUP($D1000,Insumos!$B:$U,D$1,0),"")</f>
        <v>Grs</v>
      </c>
      <c r="F1000" s="70">
        <f t="shared" si="431"/>
        <v>0.36</v>
      </c>
      <c r="G1000" s="70">
        <f>IFERROR(VLOOKUP($D1000,Insumos!$B:$U,G$1,0)/VLOOKUP($D1000,Insumos!$B:$U,F$1,0),"")</f>
        <v>120</v>
      </c>
      <c r="H1000" s="70">
        <f t="shared" si="66"/>
        <v>43.2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13">
        <f t="shared" si="424"/>
        <v>110</v>
      </c>
      <c r="C1001" s="13" t="str">
        <f t="shared" si="425"/>
        <v>Desayuno Día del Padre 2023</v>
      </c>
      <c r="D1001" s="13" t="str">
        <f t="shared" si="430"/>
        <v>Saborizante</v>
      </c>
      <c r="E1001" s="13" t="str">
        <f>IFERROR(VLOOKUP($D1001,Insumos!$B:$U,D$1,0),"")</f>
        <v>Grs</v>
      </c>
      <c r="F1001" s="70">
        <f t="shared" si="431"/>
        <v>1.2</v>
      </c>
      <c r="G1001" s="70">
        <f>IFERROR(VLOOKUP($D1001,Insumos!$B:$U,G$1,0)/VLOOKUP($D1001,Insumos!$B:$U,F$1,0),"")</f>
        <v>48</v>
      </c>
      <c r="H1001" s="70">
        <f t="shared" si="66"/>
        <v>57.6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13">
        <f t="shared" si="424"/>
        <v>110</v>
      </c>
      <c r="C1002" s="13" t="str">
        <f t="shared" si="425"/>
        <v>Desayuno Día del Padre 2023</v>
      </c>
      <c r="D1002" s="13" t="str">
        <f t="shared" si="430"/>
        <v>Crema de leche</v>
      </c>
      <c r="E1002" s="13" t="str">
        <f>IFERROR(VLOOKUP($D1002,Insumos!$B:$U,D$1,0),"")</f>
        <v>Grs</v>
      </c>
      <c r="F1002" s="70">
        <f t="shared" si="431"/>
        <v>12</v>
      </c>
      <c r="G1002" s="70">
        <f>IFERROR(VLOOKUP($D1002,Insumos!$B:$U,G$1,0)/VLOOKUP($D1002,Insumos!$B:$U,F$1,0),"")</f>
        <v>9.2</v>
      </c>
      <c r="H1002" s="70">
        <f t="shared" si="66"/>
        <v>110.4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13">
        <f t="shared" si="424"/>
        <v>110</v>
      </c>
      <c r="C1003" s="13" t="str">
        <f t="shared" si="425"/>
        <v>Desayuno Día del Padre 2023</v>
      </c>
      <c r="D1003" s="13" t="str">
        <f t="shared" si="430"/>
        <v>Chocolate</v>
      </c>
      <c r="E1003" s="13" t="str">
        <f>IFERROR(VLOOKUP($D1003,Insumos!$B:$U,D$1,0),"")</f>
        <v>Grs</v>
      </c>
      <c r="F1003" s="70">
        <f t="shared" si="431"/>
        <v>12</v>
      </c>
      <c r="G1003" s="70">
        <f>IFERROR(VLOOKUP($D1003,Insumos!$B:$U,G$1,0)/VLOOKUP($D1003,Insumos!$B:$U,F$1,0),"")</f>
        <v>10</v>
      </c>
      <c r="H1003" s="70">
        <f t="shared" si="66"/>
        <v>120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13">
        <f t="shared" si="424"/>
        <v>110</v>
      </c>
      <c r="C1004" s="13" t="str">
        <f t="shared" si="425"/>
        <v>Desayuno Día del Padre 2023</v>
      </c>
      <c r="D1004" s="13" t="str">
        <f t="shared" si="430"/>
        <v>Mangas descartables N°4</v>
      </c>
      <c r="E1004" s="13" t="str">
        <f>IFERROR(VLOOKUP($D1004,Insumos!$B:$U,D$1,0),"")</f>
        <v>Unidad</v>
      </c>
      <c r="F1004" s="70">
        <v>2.0</v>
      </c>
      <c r="G1004" s="70">
        <f>IFERROR(VLOOKUP($D1004,Insumos!$B:$U,G$1,0)/VLOOKUP($D1004,Insumos!$B:$U,F$1,0),"")</f>
        <v>400</v>
      </c>
      <c r="H1004" s="70">
        <f t="shared" si="66"/>
        <v>800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13">
        <f t="shared" si="424"/>
        <v>110</v>
      </c>
      <c r="C1005" s="13" t="str">
        <f t="shared" si="425"/>
        <v>Desayuno Día del Padre 2023</v>
      </c>
      <c r="D1005" s="13" t="str">
        <f t="shared" ref="D1005:D1009" si="432">D873</f>
        <v>Manteca</v>
      </c>
      <c r="E1005" s="13" t="str">
        <f>IFERROR(VLOOKUP($D1005,Insumos!$B:$U,D$1,0),"")</f>
        <v>Grs</v>
      </c>
      <c r="F1005" s="70">
        <f t="shared" ref="F1005:F1009" si="433">F873/8</f>
        <v>25</v>
      </c>
      <c r="G1005" s="70">
        <f>IFERROR(VLOOKUP($D1005,Insumos!$B:$U,G$1,0)/VLOOKUP($D1005,Insumos!$B:$U,F$1,0),"")</f>
        <v>11</v>
      </c>
      <c r="H1005" s="70">
        <f t="shared" si="66"/>
        <v>275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13">
        <f t="shared" si="424"/>
        <v>110</v>
      </c>
      <c r="C1006" s="13" t="str">
        <f t="shared" si="425"/>
        <v>Desayuno Día del Padre 2023</v>
      </c>
      <c r="D1006" s="13" t="str">
        <f t="shared" si="432"/>
        <v>Azúcar</v>
      </c>
      <c r="E1006" s="13" t="str">
        <f>IFERROR(VLOOKUP($D1006,Insumos!$B:$U,D$1,0),"")</f>
        <v>Grs</v>
      </c>
      <c r="F1006" s="70">
        <f t="shared" si="433"/>
        <v>25</v>
      </c>
      <c r="G1006" s="70">
        <f>IFERROR(VLOOKUP($D1006,Insumos!$B:$U,G$1,0)/VLOOKUP($D1006,Insumos!$B:$U,F$1,0),"")</f>
        <v>1.4</v>
      </c>
      <c r="H1006" s="70">
        <f t="shared" si="66"/>
        <v>35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13">
        <f t="shared" si="424"/>
        <v>110</v>
      </c>
      <c r="C1007" s="13" t="str">
        <f t="shared" si="425"/>
        <v>Desayuno Día del Padre 2023</v>
      </c>
      <c r="D1007" s="13" t="str">
        <f t="shared" si="432"/>
        <v>Huevo</v>
      </c>
      <c r="E1007" s="13" t="str">
        <f>IFERROR(VLOOKUP($D1007,Insumos!$B:$U,D$1,0),"")</f>
        <v>Unidad</v>
      </c>
      <c r="F1007" s="70">
        <f t="shared" si="433"/>
        <v>0.5</v>
      </c>
      <c r="G1007" s="70">
        <f>IFERROR(VLOOKUP($D1007,Insumos!$B:$U,G$1,0)/VLOOKUP($D1007,Insumos!$B:$U,F$1,0),"")</f>
        <v>166.6666667</v>
      </c>
      <c r="H1007" s="70">
        <f t="shared" si="66"/>
        <v>83.33333333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2"/>
      <c r="B1008" s="13">
        <f t="shared" si="424"/>
        <v>110</v>
      </c>
      <c r="C1008" s="13" t="str">
        <f t="shared" si="425"/>
        <v>Desayuno Día del Padre 2023</v>
      </c>
      <c r="D1008" s="13" t="str">
        <f t="shared" si="432"/>
        <v>Harina leudante</v>
      </c>
      <c r="E1008" s="13" t="str">
        <f>IFERROR(VLOOKUP($D1008,Insumos!$B:$U,D$1,0),"")</f>
        <v>Grs</v>
      </c>
      <c r="F1008" s="70">
        <f t="shared" si="433"/>
        <v>33.75</v>
      </c>
      <c r="G1008" s="70">
        <f>IFERROR(VLOOKUP($D1008,Insumos!$B:$U,G$1,0)/VLOOKUP($D1008,Insumos!$B:$U,F$1,0),"")</f>
        <v>1.5</v>
      </c>
      <c r="H1008" s="70">
        <f t="shared" si="66"/>
        <v>50.625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2"/>
      <c r="B1009" s="13">
        <f t="shared" si="424"/>
        <v>110</v>
      </c>
      <c r="C1009" s="13" t="str">
        <f t="shared" si="425"/>
        <v>Desayuno Día del Padre 2023</v>
      </c>
      <c r="D1009" s="13" t="str">
        <f t="shared" si="432"/>
        <v>Limón</v>
      </c>
      <c r="E1009" s="13" t="str">
        <f>IFERROR(VLOOKUP($D1009,Insumos!$B:$U,D$1,0),"")</f>
        <v>Unidad</v>
      </c>
      <c r="F1009" s="70">
        <f t="shared" si="433"/>
        <v>0.25</v>
      </c>
      <c r="G1009" s="70">
        <f>IFERROR(VLOOKUP($D1009,Insumos!$B:$U,G$1,0)/VLOOKUP($D1009,Insumos!$B:$U,F$1,0),"")</f>
        <v>180</v>
      </c>
      <c r="H1009" s="70">
        <f t="shared" si="66"/>
        <v>45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2"/>
      <c r="B1010" s="13">
        <f t="shared" si="424"/>
        <v>110</v>
      </c>
      <c r="C1010" s="13" t="str">
        <f t="shared" si="425"/>
        <v>Desayuno Día del Padre 2023</v>
      </c>
      <c r="D1010" s="13" t="str">
        <f>D879</f>
        <v>Azúcar impalpable</v>
      </c>
      <c r="E1010" s="13" t="str">
        <f>IFERROR(VLOOKUP($D1010,Insumos!$B:$U,D$1,0),"")</f>
        <v>Grs</v>
      </c>
      <c r="F1010" s="70">
        <f>F879/8</f>
        <v>31.25</v>
      </c>
      <c r="G1010" s="70">
        <f>IFERROR(VLOOKUP($D1010,Insumos!$B:$U,G$1,0)/VLOOKUP($D1010,Insumos!$B:$U,F$1,0),"")</f>
        <v>1.5</v>
      </c>
      <c r="H1010" s="70">
        <f t="shared" si="66"/>
        <v>46.875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75" customHeight="1">
      <c r="A1011" s="2"/>
      <c r="B1011" s="13">
        <f t="shared" si="424"/>
        <v>110</v>
      </c>
      <c r="C1011" s="13" t="str">
        <f t="shared" si="425"/>
        <v>Desayuno Día del Padre 2023</v>
      </c>
      <c r="D1011" s="13" t="str">
        <f t="shared" ref="D1011:D1012" si="434">D454</f>
        <v>Galletitas lincoln</v>
      </c>
      <c r="E1011" s="13" t="str">
        <f>IFERROR(VLOOKUP($D1011,Insumos!$B:$U,D$1,0),"")</f>
        <v>Grs</v>
      </c>
      <c r="F1011" s="70">
        <f t="shared" ref="F1011:F1012" si="435">F454/8</f>
        <v>25</v>
      </c>
      <c r="G1011" s="70">
        <f>IFERROR(VLOOKUP($D1011,Insumos!$B:$U,G$1,0)/VLOOKUP($D1011,Insumos!$B:$U,F$1,0),"")</f>
        <v>10.45751634</v>
      </c>
      <c r="H1011" s="70">
        <f t="shared" si="66"/>
        <v>261.4379085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75" customHeight="1">
      <c r="A1012" s="2"/>
      <c r="B1012" s="13">
        <f t="shared" si="424"/>
        <v>110</v>
      </c>
      <c r="C1012" s="13" t="str">
        <f t="shared" si="425"/>
        <v>Desayuno Día del Padre 2023</v>
      </c>
      <c r="D1012" s="13" t="str">
        <f t="shared" si="434"/>
        <v>manteca</v>
      </c>
      <c r="E1012" s="13" t="str">
        <f>IFERROR(VLOOKUP($D1012,Insumos!$B:$U,D$1,0),"")</f>
        <v>Grs</v>
      </c>
      <c r="F1012" s="70">
        <f t="shared" si="435"/>
        <v>10</v>
      </c>
      <c r="G1012" s="70">
        <f>IFERROR(VLOOKUP($D1012,Insumos!$B:$U,G$1,0)/VLOOKUP($D1012,Insumos!$B:$U,F$1,0),"")</f>
        <v>11</v>
      </c>
      <c r="H1012" s="70">
        <f t="shared" si="66"/>
        <v>110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2.75" customHeight="1">
      <c r="A1013" s="2"/>
      <c r="B1013" s="13">
        <v>111.0</v>
      </c>
      <c r="C1013" s="13" t="s">
        <v>712</v>
      </c>
      <c r="D1013" s="13" t="s">
        <v>568</v>
      </c>
      <c r="E1013" s="13" t="str">
        <f>IFERROR(VLOOKUP($D1013,Insumos!$B:$U,D$1,0),"")</f>
        <v>Grs</v>
      </c>
      <c r="F1013" s="70">
        <v>125.0</v>
      </c>
      <c r="G1013" s="70">
        <f>IFERROR(VLOOKUP($D1013,Insumos!$B:$U,G$1,0)/VLOOKUP($D1013,Insumos!$B:$U,F$1,0),"")</f>
        <v>11</v>
      </c>
      <c r="H1013" s="70">
        <f t="shared" si="66"/>
        <v>1375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2.75" customHeight="1">
      <c r="A1014" s="2"/>
      <c r="B1014" s="13">
        <f t="shared" ref="B1014:B1020" si="436">IF($D1013="","",B1013)</f>
        <v>111</v>
      </c>
      <c r="C1014" s="13" t="str">
        <f t="shared" ref="C1014:C1017" si="437">IF($D1014="","",C1013)</f>
        <v>alfajores masa sable y deco ballina</v>
      </c>
      <c r="D1014" s="13" t="s">
        <v>597</v>
      </c>
      <c r="E1014" s="13" t="str">
        <f>IFERROR(VLOOKUP($D1014,Insumos!$B:$U,D$1,0),"")</f>
        <v>Grs</v>
      </c>
      <c r="F1014" s="70">
        <v>375.0</v>
      </c>
      <c r="G1014" s="70">
        <f>IFERROR(VLOOKUP($D1014,Insumos!$B:$U,G$1,0)/VLOOKUP($D1014,Insumos!$B:$U,F$1,0),"")</f>
        <v>1.5</v>
      </c>
      <c r="H1014" s="70">
        <f t="shared" si="66"/>
        <v>562.5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2.75" customHeight="1">
      <c r="A1015" s="2"/>
      <c r="B1015" s="13">
        <f t="shared" si="436"/>
        <v>111</v>
      </c>
      <c r="C1015" s="13" t="str">
        <f t="shared" si="437"/>
        <v>alfajores masa sable y deco ballina</v>
      </c>
      <c r="D1015" s="13" t="s">
        <v>492</v>
      </c>
      <c r="E1015" s="13" t="str">
        <f>IFERROR(VLOOKUP($D1015,Insumos!$B:$U,D$1,0),"")</f>
        <v>Unidad</v>
      </c>
      <c r="F1015" s="70">
        <v>2.0</v>
      </c>
      <c r="G1015" s="70">
        <f>IFERROR(VLOOKUP($D1015,Insumos!$B:$U,G$1,0)/VLOOKUP($D1015,Insumos!$B:$U,F$1,0),"")</f>
        <v>166.6666667</v>
      </c>
      <c r="H1015" s="70">
        <f t="shared" si="66"/>
        <v>333.3333333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2.75" customHeight="1">
      <c r="A1016" s="2"/>
      <c r="B1016" s="13">
        <f t="shared" si="436"/>
        <v>111</v>
      </c>
      <c r="C1016" s="13" t="str">
        <f t="shared" si="437"/>
        <v>alfajores masa sable y deco ballina</v>
      </c>
      <c r="D1016" s="13" t="s">
        <v>468</v>
      </c>
      <c r="E1016" s="13" t="str">
        <f>IFERROR(VLOOKUP($D1016,Insumos!$B:$U,D$1,0),"")</f>
        <v>Cm3</v>
      </c>
      <c r="F1016" s="70">
        <v>10.0</v>
      </c>
      <c r="G1016" s="70">
        <f>IFERROR(VLOOKUP($D1016,Insumos!$B:$U,G$1,0)/VLOOKUP($D1016,Insumos!$B:$U,F$1,0),"")</f>
        <v>1.52</v>
      </c>
      <c r="H1016" s="70">
        <f t="shared" si="66"/>
        <v>15.2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2.75" customHeight="1">
      <c r="A1017" s="2"/>
      <c r="B1017" s="13">
        <f t="shared" si="436"/>
        <v>111</v>
      </c>
      <c r="C1017" s="13" t="str">
        <f t="shared" si="437"/>
        <v>alfajores masa sable y deco ballina</v>
      </c>
      <c r="D1017" s="13" t="s">
        <v>489</v>
      </c>
      <c r="E1017" s="13" t="str">
        <f>IFERROR(VLOOKUP($D1017,Insumos!$B:$U,D$1,0),"")</f>
        <v>Grs</v>
      </c>
      <c r="F1017" s="70">
        <v>225.0</v>
      </c>
      <c r="G1017" s="70">
        <f>IFERROR(VLOOKUP($D1017,Insumos!$B:$U,G$1,0)/VLOOKUP($D1017,Insumos!$B:$U,F$1,0),"")</f>
        <v>0.82</v>
      </c>
      <c r="H1017" s="70">
        <f t="shared" si="66"/>
        <v>184.5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2.75" customHeight="1">
      <c r="A1018" s="2"/>
      <c r="B1018" s="13">
        <f t="shared" si="436"/>
        <v>111</v>
      </c>
      <c r="C1018" s="13" t="s">
        <v>712</v>
      </c>
      <c r="D1018" s="13" t="s">
        <v>524</v>
      </c>
      <c r="E1018" s="13" t="str">
        <f>IFERROR(VLOOKUP($D1018,Insumos!$B:$U,D$1,0),"")</f>
        <v>Grs</v>
      </c>
      <c r="F1018" s="70">
        <v>200.0</v>
      </c>
      <c r="G1018" s="70">
        <f>IFERROR(VLOOKUP($D1018,Insumos!$B:$U,G$1,0)/VLOOKUP($D1018,Insumos!$B:$U,F$1,0),"")</f>
        <v>8</v>
      </c>
      <c r="H1018" s="70">
        <f t="shared" si="66"/>
        <v>1600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2.75" customHeight="1">
      <c r="A1019" s="2"/>
      <c r="B1019" s="13">
        <f t="shared" si="436"/>
        <v>111</v>
      </c>
      <c r="C1019" s="13" t="str">
        <f t="shared" ref="C1019:C1020" si="438">IF($D1019="","",C1018)</f>
        <v>alfajores masa sable y deco ballina</v>
      </c>
      <c r="D1019" s="13" t="s">
        <v>466</v>
      </c>
      <c r="E1019" s="13" t="str">
        <f>IFERROR(VLOOKUP($D1019,Insumos!$B:$U,D$1,0),"")</f>
        <v>Grs</v>
      </c>
      <c r="F1019" s="70">
        <v>500.0</v>
      </c>
      <c r="G1019" s="70">
        <f>IFERROR(VLOOKUP($D1019,Insumos!$B:$U,G$1,0)/VLOOKUP($D1019,Insumos!$B:$U,F$1,0),"")</f>
        <v>3.4</v>
      </c>
      <c r="H1019" s="70">
        <f t="shared" si="66"/>
        <v>1700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2.75" customHeight="1">
      <c r="A1020" s="2"/>
      <c r="B1020" s="116">
        <f t="shared" si="436"/>
        <v>111</v>
      </c>
      <c r="C1020" s="116" t="str">
        <f t="shared" si="438"/>
        <v>alfajores masa sable y deco ballina</v>
      </c>
      <c r="D1020" s="116" t="s">
        <v>458</v>
      </c>
      <c r="E1020" s="116" t="str">
        <f>IFERROR(VLOOKUP($D1020,Insumos!$B:$U,D$1,0),"")</f>
        <v>Grs</v>
      </c>
      <c r="F1020" s="117">
        <v>2.0</v>
      </c>
      <c r="G1020" s="117">
        <f>IFERROR(VLOOKUP($D1020,Insumos!$B:$U,G$1,0)/VLOOKUP($D1020,Insumos!$B:$U,F$1,0),"")</f>
        <v>120</v>
      </c>
      <c r="H1020" s="117">
        <f t="shared" si="66"/>
        <v>240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2.75" customHeight="1">
      <c r="A1021" s="2"/>
      <c r="B1021" s="13">
        <v>112.0</v>
      </c>
      <c r="C1021" s="13" t="s">
        <v>713</v>
      </c>
      <c r="D1021" s="13" t="s">
        <v>457</v>
      </c>
      <c r="E1021" s="13" t="str">
        <f>IFERROR(VLOOKUP($D1021,Insumos!$B:$U,D$1,0),"")</f>
        <v>Grs</v>
      </c>
      <c r="F1021" s="70">
        <v>80.0</v>
      </c>
      <c r="G1021" s="70">
        <f>IFERROR(VLOOKUP($D1021,Insumos!$B:$U,G$1,0)/VLOOKUP($D1021,Insumos!$B:$U,F$1,0),"")</f>
        <v>10.5</v>
      </c>
      <c r="H1021" s="70">
        <f t="shared" si="66"/>
        <v>840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2.75" customHeight="1">
      <c r="A1022" s="2"/>
      <c r="B1022" s="13">
        <v>112.0</v>
      </c>
      <c r="C1022" s="13" t="str">
        <f t="shared" ref="C1022:C1024" si="439">IF($D1022="","",C1021)</f>
        <v>conitos de coco sin tacc</v>
      </c>
      <c r="D1022" s="13" t="s">
        <v>395</v>
      </c>
      <c r="E1022" s="13" t="str">
        <f>IFERROR(VLOOKUP($D1022,Insumos!$B:$U,D$1,0),"")</f>
        <v>Grs</v>
      </c>
      <c r="F1022" s="70">
        <v>60.0</v>
      </c>
      <c r="G1022" s="70">
        <f>IFERROR(VLOOKUP($D1022,Insumos!$B:$U,G$1,0)/VLOOKUP($D1022,Insumos!$B:$U,F$1,0),"")</f>
        <v>1.4</v>
      </c>
      <c r="H1022" s="70">
        <f t="shared" si="66"/>
        <v>84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2.75" customHeight="1">
      <c r="A1023" s="2"/>
      <c r="B1023" s="13">
        <v>112.0</v>
      </c>
      <c r="C1023" s="13" t="str">
        <f t="shared" si="439"/>
        <v>conitos de coco sin tacc</v>
      </c>
      <c r="D1023" s="13" t="s">
        <v>492</v>
      </c>
      <c r="E1023" s="13" t="str">
        <f>IFERROR(VLOOKUP($D1023,Insumos!$B:$U,D$1,0),"")</f>
        <v>Unidad</v>
      </c>
      <c r="F1023" s="70">
        <v>3.0</v>
      </c>
      <c r="G1023" s="70">
        <f>IFERROR(VLOOKUP($D1023,Insumos!$B:$U,G$1,0)/VLOOKUP($D1023,Insumos!$B:$U,F$1,0),"")</f>
        <v>166.6666667</v>
      </c>
      <c r="H1023" s="70">
        <f t="shared" si="66"/>
        <v>500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2.75" customHeight="1">
      <c r="A1024" s="2"/>
      <c r="B1024" s="81">
        <v>112.0</v>
      </c>
      <c r="C1024" s="81" t="str">
        <f t="shared" si="439"/>
        <v>conitos de coco sin tacc</v>
      </c>
      <c r="D1024" s="81" t="s">
        <v>454</v>
      </c>
      <c r="E1024" s="81" t="str">
        <f>IFERROR(VLOOKUP($D1024,Insumos!$B:$U,D$1,0),"")</f>
        <v>Grs</v>
      </c>
      <c r="F1024" s="82">
        <v>100.0</v>
      </c>
      <c r="G1024" s="82">
        <f>IFERROR(VLOOKUP($D1024,Insumos!$B:$U,G$1,0)/VLOOKUP($D1024,Insumos!$B:$U,F$1,0),"")</f>
        <v>10</v>
      </c>
      <c r="H1024" s="82">
        <f t="shared" si="66"/>
        <v>1000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2.75" customHeight="1">
      <c r="A1025" s="2"/>
      <c r="B1025" s="13">
        <v>113.0</v>
      </c>
      <c r="C1025" s="13" t="s">
        <v>714</v>
      </c>
      <c r="D1025" s="13" t="s">
        <v>532</v>
      </c>
      <c r="E1025" s="13" t="str">
        <f>IFERROR(VLOOKUP($D1025,Insumos!$B:$U,D$1,0),"")</f>
        <v>Grs</v>
      </c>
      <c r="F1025" s="70">
        <v>270.0</v>
      </c>
      <c r="G1025" s="70">
        <f>IFERROR(VLOOKUP($D1025,Insumos!$B:$U,G$1,0)/VLOOKUP($D1025,Insumos!$B:$U,F$1,0),"")</f>
        <v>7</v>
      </c>
      <c r="H1025" s="70">
        <f t="shared" si="66"/>
        <v>1890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2.75" customHeight="1">
      <c r="A1026" s="2"/>
      <c r="B1026" s="13">
        <v>113.0</v>
      </c>
      <c r="C1026" s="13" t="str">
        <f t="shared" ref="C1026:C1031" si="440">IF($D1026="","",C1025)</f>
        <v>tortitas negras sin tacc</v>
      </c>
      <c r="D1026" s="13" t="s">
        <v>602</v>
      </c>
      <c r="E1026" s="13" t="str">
        <f>IFERROR(VLOOKUP($D1026,Insumos!$B:$U,D$1,0),"")</f>
        <v>Grs</v>
      </c>
      <c r="F1026" s="70">
        <v>25.0</v>
      </c>
      <c r="G1026" s="70">
        <f>IFERROR(VLOOKUP($D1026,Insumos!$B:$U,G$1,0)/VLOOKUP($D1026,Insumos!$B:$U,F$1,0),"")</f>
        <v>8</v>
      </c>
      <c r="H1026" s="70">
        <f t="shared" si="66"/>
        <v>200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2.75" customHeight="1">
      <c r="A1027" s="2"/>
      <c r="B1027" s="13">
        <v>113.0</v>
      </c>
      <c r="C1027" s="13" t="str">
        <f t="shared" si="440"/>
        <v>tortitas negras sin tacc</v>
      </c>
      <c r="D1027" s="13" t="s">
        <v>496</v>
      </c>
      <c r="E1027" s="13" t="str">
        <f>IFERROR(VLOOKUP($D1027,Insumos!$B:$U,D$1,0),"")</f>
        <v>Cm3</v>
      </c>
      <c r="F1027" s="70">
        <v>150.0</v>
      </c>
      <c r="G1027" s="70">
        <f>IFERROR(VLOOKUP($D1027,Insumos!$B:$U,G$1,0)/VLOOKUP($D1027,Insumos!$B:$U,F$1,0),"")</f>
        <v>2.1</v>
      </c>
      <c r="H1027" s="70">
        <f t="shared" si="66"/>
        <v>315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2.75" customHeight="1">
      <c r="A1028" s="2"/>
      <c r="B1028" s="13">
        <v>113.0</v>
      </c>
      <c r="C1028" s="13" t="str">
        <f t="shared" si="440"/>
        <v>tortitas negras sin tacc</v>
      </c>
      <c r="D1028" s="13" t="s">
        <v>573</v>
      </c>
      <c r="E1028" s="13" t="str">
        <f>IFERROR(VLOOKUP($D1028,Insumos!$B:$U,D$1,0),"")</f>
        <v>Grs</v>
      </c>
      <c r="F1028" s="70">
        <v>160.0</v>
      </c>
      <c r="G1028" s="70">
        <f>IFERROR(VLOOKUP($D1028,Insumos!$B:$U,G$1,0)/VLOOKUP($D1028,Insumos!$B:$U,F$1,0),"")</f>
        <v>1.4</v>
      </c>
      <c r="H1028" s="70">
        <f t="shared" si="66"/>
        <v>224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2.75" customHeight="1">
      <c r="A1029" s="2"/>
      <c r="B1029" s="13">
        <v>113.0</v>
      </c>
      <c r="C1029" s="13" t="str">
        <f t="shared" si="440"/>
        <v>tortitas negras sin tacc</v>
      </c>
      <c r="D1029" s="13" t="s">
        <v>492</v>
      </c>
      <c r="E1029" s="13" t="str">
        <f>IFERROR(VLOOKUP($D1029,Insumos!$B:$U,D$1,0),"")</f>
        <v>Unidad</v>
      </c>
      <c r="F1029" s="70">
        <v>2.0</v>
      </c>
      <c r="G1029" s="70">
        <f>IFERROR(VLOOKUP($D1029,Insumos!$B:$U,G$1,0)/VLOOKUP($D1029,Insumos!$B:$U,F$1,0),"")</f>
        <v>166.6666667</v>
      </c>
      <c r="H1029" s="70">
        <f t="shared" si="66"/>
        <v>333.3333333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2.75" customHeight="1">
      <c r="A1030" s="2"/>
      <c r="B1030" s="13">
        <v>113.0</v>
      </c>
      <c r="C1030" s="13" t="str">
        <f t="shared" si="440"/>
        <v>tortitas negras sin tacc</v>
      </c>
      <c r="D1030" s="13" t="s">
        <v>505</v>
      </c>
      <c r="E1030" s="13" t="str">
        <f>IFERROR(VLOOKUP($D1030,Insumos!$B:$U,D$1,0),"")</f>
        <v>Grs</v>
      </c>
      <c r="F1030" s="70">
        <v>60.0</v>
      </c>
      <c r="G1030" s="70">
        <f>IFERROR(VLOOKUP($D1030,Insumos!$B:$U,G$1,0)/VLOOKUP($D1030,Insumos!$B:$U,F$1,0),"")</f>
        <v>11</v>
      </c>
      <c r="H1030" s="70">
        <f t="shared" si="66"/>
        <v>660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2.75" customHeight="1">
      <c r="A1031" s="2"/>
      <c r="B1031" s="81">
        <v>113.0</v>
      </c>
      <c r="C1031" s="81" t="str">
        <f t="shared" si="440"/>
        <v>tortitas negras sin tacc</v>
      </c>
      <c r="D1031" s="81" t="s">
        <v>398</v>
      </c>
      <c r="E1031" s="81" t="str">
        <f>IFERROR(VLOOKUP($D1031,Insumos!$B:$U,D$1,0),"")</f>
        <v>Grs</v>
      </c>
      <c r="F1031" s="82">
        <v>100.0</v>
      </c>
      <c r="G1031" s="82">
        <f>IFERROR(VLOOKUP($D1031,Insumos!$B:$U,G$1,0)/VLOOKUP($D1031,Insumos!$B:$U,F$1,0),"")</f>
        <v>0.85</v>
      </c>
      <c r="H1031" s="82">
        <f t="shared" si="66"/>
        <v>85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2.75" customHeight="1">
      <c r="A1032" s="2"/>
      <c r="B1032" s="13">
        <v>114.0</v>
      </c>
      <c r="C1032" s="13" t="s">
        <v>715</v>
      </c>
      <c r="D1032" s="13" t="str">
        <f t="shared" ref="D1032:D1038" si="441">D54</f>
        <v>Manteca</v>
      </c>
      <c r="E1032" s="13" t="str">
        <f>IFERROR(VLOOKUP($D1032,Insumos!$B:$U,D$1,0),"")</f>
        <v>Grs</v>
      </c>
      <c r="F1032" s="70">
        <f t="shared" ref="F1032:F1038" si="442">F54*3</f>
        <v>330</v>
      </c>
      <c r="G1032" s="70">
        <f>IFERROR(VLOOKUP($D1032,Insumos!$B:$U,G$1,0)/VLOOKUP($D1032,Insumos!$B:$U,F$1,0),"")</f>
        <v>11</v>
      </c>
      <c r="H1032" s="70">
        <f t="shared" si="66"/>
        <v>3630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2.75" customHeight="1">
      <c r="A1033" s="2"/>
      <c r="B1033" s="13">
        <f t="shared" ref="B1033:B1041" si="443">IF($D1032="","",B1032)</f>
        <v>114</v>
      </c>
      <c r="C1033" s="13" t="str">
        <f t="shared" ref="C1033:C1041" si="444">IF($D1033="","",C1032)</f>
        <v>Brownie rectangular 30x20</v>
      </c>
      <c r="D1033" s="13" t="str">
        <f t="shared" si="441"/>
        <v>Azúcar</v>
      </c>
      <c r="E1033" s="13" t="str">
        <f>IFERROR(VLOOKUP($D1033,Insumos!$B:$U,D$1,0),"")</f>
        <v>Grs</v>
      </c>
      <c r="F1033" s="70">
        <f t="shared" si="442"/>
        <v>1395</v>
      </c>
      <c r="G1033" s="70">
        <f>IFERROR(VLOOKUP($D1033,Insumos!$B:$U,G$1,0)/VLOOKUP($D1033,Insumos!$B:$U,F$1,0),"")</f>
        <v>1.4</v>
      </c>
      <c r="H1033" s="70">
        <f t="shared" si="66"/>
        <v>1953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2.75" customHeight="1">
      <c r="A1034" s="2"/>
      <c r="B1034" s="13">
        <f t="shared" si="443"/>
        <v>114</v>
      </c>
      <c r="C1034" s="13" t="str">
        <f t="shared" si="444"/>
        <v>Brownie rectangular 30x20</v>
      </c>
      <c r="D1034" s="13" t="str">
        <f t="shared" si="441"/>
        <v>Huevo</v>
      </c>
      <c r="E1034" s="13" t="str">
        <f>IFERROR(VLOOKUP($D1034,Insumos!$B:$U,D$1,0),"")</f>
        <v>Unidad</v>
      </c>
      <c r="F1034" s="70">
        <f t="shared" si="442"/>
        <v>21</v>
      </c>
      <c r="G1034" s="70">
        <f>IFERROR(VLOOKUP($D1034,Insumos!$B:$U,G$1,0)/VLOOKUP($D1034,Insumos!$B:$U,F$1,0),"")</f>
        <v>166.6666667</v>
      </c>
      <c r="H1034" s="70">
        <f t="shared" si="66"/>
        <v>3500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2.75" customHeight="1">
      <c r="A1035" s="2"/>
      <c r="B1035" s="13">
        <f t="shared" si="443"/>
        <v>114</v>
      </c>
      <c r="C1035" s="13" t="str">
        <f t="shared" si="444"/>
        <v>Brownie rectangular 30x20</v>
      </c>
      <c r="D1035" s="13" t="str">
        <f t="shared" si="441"/>
        <v>Chocolate</v>
      </c>
      <c r="E1035" s="13" t="str">
        <f>IFERROR(VLOOKUP($D1035,Insumos!$B:$U,D$1,0),"")</f>
        <v>Grs</v>
      </c>
      <c r="F1035" s="70">
        <f t="shared" si="442"/>
        <v>330</v>
      </c>
      <c r="G1035" s="70">
        <f>IFERROR(VLOOKUP($D1035,Insumos!$B:$U,G$1,0)/VLOOKUP($D1035,Insumos!$B:$U,F$1,0),"")</f>
        <v>10</v>
      </c>
      <c r="H1035" s="70">
        <f t="shared" si="66"/>
        <v>3300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2.75" customHeight="1">
      <c r="A1036" s="2"/>
      <c r="B1036" s="13">
        <f t="shared" si="443"/>
        <v>114</v>
      </c>
      <c r="C1036" s="13" t="str">
        <f t="shared" si="444"/>
        <v>Brownie rectangular 30x20</v>
      </c>
      <c r="D1036" s="13" t="str">
        <f t="shared" si="441"/>
        <v>Cacao</v>
      </c>
      <c r="E1036" s="13" t="str">
        <f>IFERROR(VLOOKUP($D1036,Insumos!$B:$U,D$1,0),"")</f>
        <v>Grs</v>
      </c>
      <c r="F1036" s="70">
        <f t="shared" si="442"/>
        <v>30</v>
      </c>
      <c r="G1036" s="70">
        <f>IFERROR(VLOOKUP($D1036,Insumos!$B:$U,G$1,0)/VLOOKUP($D1036,Insumos!$B:$U,F$1,0),"")</f>
        <v>36.11111111</v>
      </c>
      <c r="H1036" s="70">
        <f t="shared" si="66"/>
        <v>1083.333333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2.75" customHeight="1">
      <c r="A1037" s="2"/>
      <c r="B1037" s="13">
        <f t="shared" si="443"/>
        <v>114</v>
      </c>
      <c r="C1037" s="13" t="str">
        <f t="shared" si="444"/>
        <v>Brownie rectangular 30x20</v>
      </c>
      <c r="D1037" s="13" t="str">
        <f t="shared" si="441"/>
        <v>Harina 0000</v>
      </c>
      <c r="E1037" s="13" t="str">
        <f>IFERROR(VLOOKUP($D1037,Insumos!$B:$U,D$1,0),"")</f>
        <v>Grs</v>
      </c>
      <c r="F1037" s="70">
        <f t="shared" si="442"/>
        <v>195</v>
      </c>
      <c r="G1037" s="70">
        <f>IFERROR(VLOOKUP($D1037,Insumos!$B:$U,G$1,0)/VLOOKUP($D1037,Insumos!$B:$U,F$1,0),"")</f>
        <v>0.82</v>
      </c>
      <c r="H1037" s="70">
        <f t="shared" si="66"/>
        <v>159.9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2.75" customHeight="1">
      <c r="A1038" s="2"/>
      <c r="B1038" s="13">
        <f t="shared" si="443"/>
        <v>114</v>
      </c>
      <c r="C1038" s="13" t="str">
        <f t="shared" si="444"/>
        <v>Brownie rectangular 30x20</v>
      </c>
      <c r="D1038" s="13" t="str">
        <f t="shared" si="441"/>
        <v>Nuez</v>
      </c>
      <c r="E1038" s="13" t="str">
        <f>IFERROR(VLOOKUP($D1038,Insumos!$B:$U,D$1,0),"")</f>
        <v>Grs</v>
      </c>
      <c r="F1038" s="70">
        <f t="shared" si="442"/>
        <v>270</v>
      </c>
      <c r="G1038" s="70">
        <f>IFERROR(VLOOKUP($D1038,Insumos!$B:$U,G$1,0)/VLOOKUP($D1038,Insumos!$B:$U,F$1,0),"")</f>
        <v>19</v>
      </c>
      <c r="H1038" s="70">
        <f t="shared" si="66"/>
        <v>5130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2.75" customHeight="1">
      <c r="A1039" s="2"/>
      <c r="B1039" s="13">
        <f t="shared" si="443"/>
        <v>114</v>
      </c>
      <c r="C1039" s="13" t="str">
        <f t="shared" si="444"/>
        <v>Brownie rectangular 30x20</v>
      </c>
      <c r="D1039" s="13" t="s">
        <v>440</v>
      </c>
      <c r="E1039" s="13" t="str">
        <f>IFERROR(VLOOKUP($D1039,Insumos!$B:$U,D$1,0),"")</f>
        <v>Unidad</v>
      </c>
      <c r="F1039" s="70">
        <f t="shared" ref="F1039:F1040" si="445">F61</f>
        <v>1</v>
      </c>
      <c r="G1039" s="70">
        <f>IFERROR(VLOOKUP($D1039,Insumos!$B:$U,G$1,0)/VLOOKUP($D1039,Insumos!$B:$U,F$1,0),"")</f>
        <v>2500</v>
      </c>
      <c r="H1039" s="70">
        <f t="shared" si="66"/>
        <v>2500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2.75" customHeight="1">
      <c r="A1040" s="2"/>
      <c r="B1040" s="13">
        <f t="shared" si="443"/>
        <v>114</v>
      </c>
      <c r="C1040" s="13" t="str">
        <f t="shared" si="444"/>
        <v>Brownie rectangular 30x20</v>
      </c>
      <c r="D1040" s="13" t="s">
        <v>406</v>
      </c>
      <c r="E1040" s="13" t="str">
        <f>IFERROR(VLOOKUP($D1040,Insumos!$B:$U,D$1,0),"")</f>
        <v>Unidad</v>
      </c>
      <c r="F1040" s="70">
        <f t="shared" si="445"/>
        <v>1</v>
      </c>
      <c r="G1040" s="70">
        <f>IFERROR(VLOOKUP($D1040,Insumos!$B:$U,G$1,0)/VLOOKUP($D1040,Insumos!$B:$U,F$1,0),"")</f>
        <v>2250</v>
      </c>
      <c r="H1040" s="70">
        <f t="shared" si="66"/>
        <v>2250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2.75" customHeight="1">
      <c r="A1041" s="2"/>
      <c r="B1041" s="81">
        <f t="shared" si="443"/>
        <v>114</v>
      </c>
      <c r="C1041" s="81" t="str">
        <f t="shared" si="444"/>
        <v>Brownie rectangular 30x20</v>
      </c>
      <c r="D1041" s="81" t="str">
        <f>D64</f>
        <v>Dulce de leche</v>
      </c>
      <c r="E1041" s="81" t="str">
        <f>IFERROR(VLOOKUP($D1041,Insumos!$B:$U,D$1,0),"")</f>
        <v>Grs</v>
      </c>
      <c r="F1041" s="82">
        <f>F64*3</f>
        <v>1500</v>
      </c>
      <c r="G1041" s="82">
        <f>IFERROR(VLOOKUP($D1041,Insumos!$B:$U,G$1,0)/VLOOKUP($D1041,Insumos!$B:$U,F$1,0),"")</f>
        <v>3.4</v>
      </c>
      <c r="H1041" s="82">
        <f t="shared" si="66"/>
        <v>5100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2.75" customHeight="1">
      <c r="A1042" s="2"/>
      <c r="B1042" s="13">
        <v>115.0</v>
      </c>
      <c r="C1042" s="13" t="s">
        <v>716</v>
      </c>
      <c r="D1042" s="13" t="s">
        <v>395</v>
      </c>
      <c r="E1042" s="13" t="str">
        <f>IFERROR(VLOOKUP($D1042,Insumos!$B:$U,D$1,0),"")</f>
        <v>Grs</v>
      </c>
      <c r="F1042" s="70">
        <f>300+100</f>
        <v>400</v>
      </c>
      <c r="G1042" s="70">
        <f>IFERROR(VLOOKUP($D1042,Insumos!$B:$U,G$1,0)/VLOOKUP($D1042,Insumos!$B:$U,F$1,0),"")</f>
        <v>1.4</v>
      </c>
      <c r="H1042" s="70">
        <f t="shared" si="66"/>
        <v>560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2.75" customHeight="1">
      <c r="A1043" s="2"/>
      <c r="B1043" s="13">
        <f t="shared" ref="B1043:B1057" si="446">IF($D1042="","",B1042)</f>
        <v>115</v>
      </c>
      <c r="C1043" s="13" t="str">
        <f t="shared" ref="C1043:C1057" si="447">IF($D1043="","",C1042)</f>
        <v>Pan Dulce x5 de 700 grms c/u</v>
      </c>
      <c r="D1043" s="13" t="s">
        <v>492</v>
      </c>
      <c r="E1043" s="13" t="str">
        <f>IFERROR(VLOOKUP($D1043,Insumos!$B:$U,D$1,0),"")</f>
        <v>Unidad</v>
      </c>
      <c r="F1043" s="70">
        <v>6.0</v>
      </c>
      <c r="G1043" s="70">
        <f>IFERROR(VLOOKUP($D1043,Insumos!$B:$U,G$1,0)/VLOOKUP($D1043,Insumos!$B:$U,F$1,0),"")</f>
        <v>166.6666667</v>
      </c>
      <c r="H1043" s="70">
        <f t="shared" si="66"/>
        <v>1000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2.75" customHeight="1">
      <c r="A1044" s="2"/>
      <c r="B1044" s="13">
        <f t="shared" si="446"/>
        <v>115</v>
      </c>
      <c r="C1044" s="13" t="str">
        <f t="shared" si="447"/>
        <v>Pan Dulce x5 de 700 grms c/u</v>
      </c>
      <c r="D1044" s="13" t="s">
        <v>468</v>
      </c>
      <c r="E1044" s="13" t="str">
        <f>IFERROR(VLOOKUP($D1044,Insumos!$B:$U,D$1,0),"")</f>
        <v>Cm3</v>
      </c>
      <c r="F1044" s="70">
        <v>20.0</v>
      </c>
      <c r="G1044" s="70">
        <f>IFERROR(VLOOKUP($D1044,Insumos!$B:$U,G$1,0)/VLOOKUP($D1044,Insumos!$B:$U,F$1,0),"")</f>
        <v>1.52</v>
      </c>
      <c r="H1044" s="70">
        <f t="shared" si="66"/>
        <v>30.4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2.75" customHeight="1">
      <c r="A1045" s="2"/>
      <c r="B1045" s="13">
        <f t="shared" si="446"/>
        <v>115</v>
      </c>
      <c r="C1045" s="13" t="str">
        <f t="shared" si="447"/>
        <v>Pan Dulce x5 de 700 grms c/u</v>
      </c>
      <c r="D1045" s="13" t="s">
        <v>472</v>
      </c>
      <c r="E1045" s="13" t="str">
        <f>IFERROR(VLOOKUP($D1045,Insumos!$B:$U,D$1,0),"")</f>
        <v>Grs</v>
      </c>
      <c r="F1045" s="70">
        <v>30.0</v>
      </c>
      <c r="G1045" s="70">
        <f>IFERROR(VLOOKUP($D1045,Insumos!$B:$U,G$1,0)/VLOOKUP($D1045,Insumos!$B:$U,F$1,0),"")</f>
        <v>7</v>
      </c>
      <c r="H1045" s="70">
        <f t="shared" si="66"/>
        <v>210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2.75" customHeight="1">
      <c r="A1046" s="2"/>
      <c r="B1046" s="13">
        <f t="shared" si="446"/>
        <v>115</v>
      </c>
      <c r="C1046" s="13" t="str">
        <f t="shared" si="447"/>
        <v>Pan Dulce x5 de 700 grms c/u</v>
      </c>
      <c r="D1046" s="13" t="s">
        <v>489</v>
      </c>
      <c r="E1046" s="13" t="str">
        <f>IFERROR(VLOOKUP($D1046,Insumos!$B:$U,D$1,0),"")</f>
        <v>Grs</v>
      </c>
      <c r="F1046" s="70">
        <f>1000+300</f>
        <v>1300</v>
      </c>
      <c r="G1046" s="70">
        <f>IFERROR(VLOOKUP($D1046,Insumos!$B:$U,G$1,0)/VLOOKUP($D1046,Insumos!$B:$U,F$1,0),"")</f>
        <v>0.82</v>
      </c>
      <c r="H1046" s="70">
        <f t="shared" si="66"/>
        <v>1066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2.75" customHeight="1">
      <c r="A1047" s="2"/>
      <c r="B1047" s="13">
        <f t="shared" si="446"/>
        <v>115</v>
      </c>
      <c r="C1047" s="13" t="str">
        <f t="shared" si="447"/>
        <v>Pan Dulce x5 de 700 grms c/u</v>
      </c>
      <c r="D1047" s="13" t="s">
        <v>496</v>
      </c>
      <c r="E1047" s="13" t="str">
        <f>IFERROR(VLOOKUP($D1047,Insumos!$B:$U,D$1,0),"")</f>
        <v>Cm3</v>
      </c>
      <c r="F1047" s="70">
        <v>150.0</v>
      </c>
      <c r="G1047" s="70">
        <f>IFERROR(VLOOKUP($D1047,Insumos!$B:$U,G$1,0)/VLOOKUP($D1047,Insumos!$B:$U,F$1,0),"")</f>
        <v>2.1</v>
      </c>
      <c r="H1047" s="70">
        <f t="shared" si="66"/>
        <v>315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2.75" customHeight="1">
      <c r="A1048" s="2"/>
      <c r="B1048" s="13">
        <f t="shared" si="446"/>
        <v>115</v>
      </c>
      <c r="C1048" s="13" t="str">
        <f t="shared" si="447"/>
        <v>Pan Dulce x5 de 700 grms c/u</v>
      </c>
      <c r="D1048" s="13" t="s">
        <v>499</v>
      </c>
      <c r="E1048" s="13" t="str">
        <f>IFERROR(VLOOKUP($D1048,Insumos!$B:$U,D$1,0),"")</f>
        <v>Grs</v>
      </c>
      <c r="F1048" s="70">
        <f>60+25</f>
        <v>85</v>
      </c>
      <c r="G1048" s="70">
        <f>IFERROR(VLOOKUP($D1048,Insumos!$B:$U,G$1,0)/VLOOKUP($D1048,Insumos!$B:$U,F$1,0),"")</f>
        <v>8</v>
      </c>
      <c r="H1048" s="70">
        <f t="shared" si="66"/>
        <v>680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2.75" customHeight="1">
      <c r="A1049" s="2"/>
      <c r="B1049" s="13">
        <f t="shared" si="446"/>
        <v>115</v>
      </c>
      <c r="C1049" s="13" t="str">
        <f t="shared" si="447"/>
        <v>Pan Dulce x5 de 700 grms c/u</v>
      </c>
      <c r="D1049" s="13" t="s">
        <v>505</v>
      </c>
      <c r="E1049" s="13" t="str">
        <f>IFERROR(VLOOKUP($D1049,Insumos!$B:$U,D$1,0),"")</f>
        <v>Grs</v>
      </c>
      <c r="F1049" s="70">
        <v>300.0</v>
      </c>
      <c r="G1049" s="70">
        <f>IFERROR(VLOOKUP($D1049,Insumos!$B:$U,G$1,0)/VLOOKUP($D1049,Insumos!$B:$U,F$1,0),"")</f>
        <v>11</v>
      </c>
      <c r="H1049" s="70">
        <f t="shared" si="66"/>
        <v>3300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2.75" customHeight="1">
      <c r="A1050" s="2"/>
      <c r="B1050" s="13">
        <f t="shared" si="446"/>
        <v>115</v>
      </c>
      <c r="C1050" s="13" t="str">
        <f t="shared" si="447"/>
        <v>Pan Dulce x5 de 700 grms c/u</v>
      </c>
      <c r="D1050" s="13" t="s">
        <v>513</v>
      </c>
      <c r="E1050" s="13" t="str">
        <f>IFERROR(VLOOKUP($D1050,Insumos!$B:$U,D$1,0),"")</f>
        <v>Cm3</v>
      </c>
      <c r="F1050" s="70">
        <v>30.0</v>
      </c>
      <c r="G1050" s="70">
        <f>IFERROR(VLOOKUP($D1050,Insumos!$B:$U,G$1,0)/VLOOKUP($D1050,Insumos!$B:$U,F$1,0),"")</f>
        <v>4.5</v>
      </c>
      <c r="H1050" s="70">
        <f t="shared" si="66"/>
        <v>135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2.75" customHeight="1">
      <c r="A1051" s="2"/>
      <c r="B1051" s="13">
        <f t="shared" si="446"/>
        <v>115</v>
      </c>
      <c r="C1051" s="13" t="str">
        <f t="shared" si="447"/>
        <v>Pan Dulce x5 de 700 grms c/u</v>
      </c>
      <c r="D1051" s="13" t="s">
        <v>397</v>
      </c>
      <c r="E1051" s="13" t="str">
        <f>IFERROR(VLOOKUP($D1051,Insumos!$B:$U,D$1,0),"")</f>
        <v>Grs</v>
      </c>
      <c r="F1051" s="70">
        <v>100.0</v>
      </c>
      <c r="G1051" s="70">
        <f>IFERROR(VLOOKUP($D1051,Insumos!$B:$U,G$1,0)/VLOOKUP($D1051,Insumos!$B:$U,F$1,0),"")</f>
        <v>1.5</v>
      </c>
      <c r="H1051" s="70">
        <f t="shared" si="66"/>
        <v>150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2.75" customHeight="1">
      <c r="A1052" s="2"/>
      <c r="B1052" s="13">
        <f t="shared" si="446"/>
        <v>115</v>
      </c>
      <c r="C1052" s="13" t="str">
        <f t="shared" si="447"/>
        <v>Pan Dulce x5 de 700 grms c/u</v>
      </c>
      <c r="D1052" s="13" t="s">
        <v>415</v>
      </c>
      <c r="E1052" s="13" t="str">
        <f>IFERROR(VLOOKUP($D1052,Insumos!$B:$U,D$1,0),"")</f>
        <v>Unidad</v>
      </c>
      <c r="F1052" s="70">
        <v>1.0</v>
      </c>
      <c r="G1052" s="70">
        <f>IFERROR(VLOOKUP($D1052,Insumos!$B:$U,G$1,0)/VLOOKUP($D1052,Insumos!$B:$U,F$1,0),"")</f>
        <v>11</v>
      </c>
      <c r="H1052" s="70">
        <f t="shared" si="66"/>
        <v>11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2.75" customHeight="1">
      <c r="A1053" s="2"/>
      <c r="B1053" s="13">
        <f t="shared" si="446"/>
        <v>115</v>
      </c>
      <c r="C1053" s="13" t="str">
        <f t="shared" si="447"/>
        <v>Pan Dulce x5 de 700 grms c/u</v>
      </c>
      <c r="D1053" s="13" t="s">
        <v>465</v>
      </c>
      <c r="E1053" s="13" t="str">
        <f>IFERROR(VLOOKUP($D1053,Insumos!$B:$U,D$1,0),"")</f>
        <v>Unidad</v>
      </c>
      <c r="F1053" s="70">
        <v>1.0</v>
      </c>
      <c r="G1053" s="70">
        <f>IFERROR(VLOOKUP($D1053,Insumos!$B:$U,G$1,0)/VLOOKUP($D1053,Insumos!$B:$U,F$1,0),"")</f>
        <v>400</v>
      </c>
      <c r="H1053" s="70">
        <f t="shared" si="66"/>
        <v>400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2.75" customHeight="1">
      <c r="A1054" s="2"/>
      <c r="B1054" s="13">
        <f t="shared" si="446"/>
        <v>115</v>
      </c>
      <c r="C1054" s="13" t="str">
        <f t="shared" si="447"/>
        <v>Pan Dulce x5 de 700 grms c/u</v>
      </c>
      <c r="D1054" s="13" t="s">
        <v>494</v>
      </c>
      <c r="E1054" s="13" t="str">
        <f>IFERROR(VLOOKUP($D1054,Insumos!$B:$U,D$1,0),"")</f>
        <v>Unidad</v>
      </c>
      <c r="F1054" s="70">
        <v>1.0</v>
      </c>
      <c r="G1054" s="70">
        <f>IFERROR(VLOOKUP($D1054,Insumos!$B:$U,G$1,0)/VLOOKUP($D1054,Insumos!$B:$U,F$1,0),"")</f>
        <v>98</v>
      </c>
      <c r="H1054" s="70">
        <f t="shared" si="66"/>
        <v>98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2.75" customHeight="1">
      <c r="A1055" s="2"/>
      <c r="B1055" s="13">
        <f t="shared" si="446"/>
        <v>115</v>
      </c>
      <c r="C1055" s="13" t="str">
        <f t="shared" si="447"/>
        <v>Pan Dulce x5 de 700 grms c/u</v>
      </c>
      <c r="D1055" s="13" t="s">
        <v>391</v>
      </c>
      <c r="E1055" s="13" t="str">
        <f>IFERROR(VLOOKUP($D1055,Insumos!$B:$U,D$1,0),"")</f>
        <v>Grs</v>
      </c>
      <c r="F1055" s="70">
        <v>200.0</v>
      </c>
      <c r="G1055" s="70">
        <f>IFERROR(VLOOKUP($D1055,Insumos!$B:$U,G$1,0)/VLOOKUP($D1055,Insumos!$B:$U,F$1,0),"")</f>
        <v>17</v>
      </c>
      <c r="H1055" s="70">
        <f t="shared" si="66"/>
        <v>3400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2.75" customHeight="1">
      <c r="A1056" s="2"/>
      <c r="B1056" s="13">
        <f t="shared" si="446"/>
        <v>115</v>
      </c>
      <c r="C1056" s="13" t="str">
        <f t="shared" si="447"/>
        <v>Pan Dulce x5 de 700 grms c/u</v>
      </c>
      <c r="D1056" s="13" t="s">
        <v>516</v>
      </c>
      <c r="E1056" s="13" t="str">
        <f>IFERROR(VLOOKUP($D1056,Insumos!$B:$U,D$1,0),"")</f>
        <v>Grs</v>
      </c>
      <c r="F1056" s="70">
        <v>200.0</v>
      </c>
      <c r="G1056" s="70">
        <f>IFERROR(VLOOKUP($D1056,Insumos!$B:$U,G$1,0)/VLOOKUP($D1056,Insumos!$B:$U,F$1,0),"")</f>
        <v>19</v>
      </c>
      <c r="H1056" s="70">
        <f t="shared" si="66"/>
        <v>3800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2.75" customHeight="1">
      <c r="A1057" s="2"/>
      <c r="B1057" s="81">
        <f t="shared" si="446"/>
        <v>115</v>
      </c>
      <c r="C1057" s="81" t="str">
        <f t="shared" si="447"/>
        <v>Pan Dulce x5 de 700 grms c/u</v>
      </c>
      <c r="D1057" s="81" t="s">
        <v>478</v>
      </c>
      <c r="E1057" s="81" t="str">
        <f>IFERROR(VLOOKUP($D1057,Insumos!$B:$U,D$1,0),"")</f>
        <v>Grs</v>
      </c>
      <c r="F1057" s="82">
        <v>200.0</v>
      </c>
      <c r="G1057" s="82">
        <f>IFERROR(VLOOKUP($D1057,Insumos!$B:$U,G$1,0)/VLOOKUP($D1057,Insumos!$B:$U,F$1,0),"")</f>
        <v>3</v>
      </c>
      <c r="H1057" s="82">
        <f t="shared" si="66"/>
        <v>600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2.75" customHeight="1">
      <c r="A1058" s="2"/>
      <c r="B1058" s="13">
        <v>116.0</v>
      </c>
      <c r="C1058" s="118" t="s">
        <v>717</v>
      </c>
      <c r="D1058" s="13" t="s">
        <v>505</v>
      </c>
      <c r="E1058" s="13" t="str">
        <f>IFERROR(VLOOKUP($D1058,Insumos!$B:$U,D$1,0),"")</f>
        <v>Grs</v>
      </c>
      <c r="F1058" s="70">
        <v>350.0</v>
      </c>
      <c r="G1058" s="70">
        <f>IFERROR(VLOOKUP($D1058,Insumos!$B:$U,G$1,0)/VLOOKUP($D1058,Insumos!$B:$U,F$1,0),"")</f>
        <v>11</v>
      </c>
      <c r="H1058" s="70">
        <f t="shared" si="66"/>
        <v>3850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2.75" customHeight="1">
      <c r="A1059" s="2"/>
      <c r="B1059" s="13">
        <f t="shared" ref="B1059:B1067" si="448">IF($D1058="","",B1058)</f>
        <v>116</v>
      </c>
      <c r="C1059" s="13" t="str">
        <f t="shared" ref="C1059:C1067" si="449">IF($D1059="","",C1058)</f>
        <v>Bizcochuelo 22 cm </v>
      </c>
      <c r="D1059" s="13" t="s">
        <v>492</v>
      </c>
      <c r="E1059" s="13" t="str">
        <f>IFERROR(VLOOKUP($D1059,Insumos!$B:$U,D$1,0),"")</f>
        <v>Unidad</v>
      </c>
      <c r="F1059" s="70">
        <v>7.0</v>
      </c>
      <c r="G1059" s="70">
        <f>IFERROR(VLOOKUP($D1059,Insumos!$B:$U,G$1,0)/VLOOKUP($D1059,Insumos!$B:$U,F$1,0),"")</f>
        <v>166.6666667</v>
      </c>
      <c r="H1059" s="70">
        <f t="shared" si="66"/>
        <v>1166.666667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2.75" customHeight="1">
      <c r="A1060" s="2"/>
      <c r="B1060" s="13">
        <f t="shared" si="448"/>
        <v>116</v>
      </c>
      <c r="C1060" s="13" t="str">
        <f t="shared" si="449"/>
        <v>Bizcochuelo 22 cm </v>
      </c>
      <c r="D1060" s="13" t="s">
        <v>395</v>
      </c>
      <c r="E1060" s="13" t="str">
        <f>IFERROR(VLOOKUP($D1060,Insumos!$B:$U,D$1,0),"")</f>
        <v>Grs</v>
      </c>
      <c r="F1060" s="70">
        <v>650.0</v>
      </c>
      <c r="G1060" s="70">
        <f>IFERROR(VLOOKUP($D1060,Insumos!$B:$U,G$1,0)/VLOOKUP($D1060,Insumos!$B:$U,F$1,0),"")</f>
        <v>1.4</v>
      </c>
      <c r="H1060" s="70">
        <f t="shared" si="66"/>
        <v>910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2.75" customHeight="1">
      <c r="A1061" s="2"/>
      <c r="B1061" s="13">
        <f t="shared" si="448"/>
        <v>116</v>
      </c>
      <c r="C1061" s="13" t="str">
        <f t="shared" si="449"/>
        <v>Bizcochuelo 22 cm </v>
      </c>
      <c r="D1061" s="13" t="s">
        <v>489</v>
      </c>
      <c r="E1061" s="13" t="str">
        <f>IFERROR(VLOOKUP($D1061,Insumos!$B:$U,D$1,0),"")</f>
        <v>Grs</v>
      </c>
      <c r="F1061" s="70">
        <v>350.0</v>
      </c>
      <c r="G1061" s="70">
        <f>IFERROR(VLOOKUP($D1061,Insumos!$B:$U,G$1,0)/VLOOKUP($D1061,Insumos!$B:$U,F$1,0),"")</f>
        <v>0.82</v>
      </c>
      <c r="H1061" s="70">
        <f t="shared" si="66"/>
        <v>287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2.75" customHeight="1">
      <c r="A1062" s="2"/>
      <c r="B1062" s="13">
        <f t="shared" si="448"/>
        <v>116</v>
      </c>
      <c r="C1062" s="13" t="str">
        <f t="shared" si="449"/>
        <v>Bizcochuelo 22 cm </v>
      </c>
      <c r="D1062" s="13" t="s">
        <v>528</v>
      </c>
      <c r="E1062" s="13" t="str">
        <f>IFERROR(VLOOKUP($D1062,Insumos!$B:$U,D$1,0),"")</f>
        <v>Grs</v>
      </c>
      <c r="F1062" s="70">
        <v>10.0</v>
      </c>
      <c r="G1062" s="70">
        <f>IFERROR(VLOOKUP($D1062,Insumos!$B:$U,G$1,0)/VLOOKUP($D1062,Insumos!$B:$U,F$1,0),"")</f>
        <v>8</v>
      </c>
      <c r="H1062" s="70">
        <f t="shared" si="66"/>
        <v>80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2.75" customHeight="1">
      <c r="A1063" s="2"/>
      <c r="B1063" s="13">
        <f t="shared" si="448"/>
        <v>116</v>
      </c>
      <c r="C1063" s="13" t="str">
        <f t="shared" si="449"/>
        <v>Bizcochuelo 22 cm </v>
      </c>
      <c r="D1063" s="13" t="s">
        <v>480</v>
      </c>
      <c r="E1063" s="13" t="str">
        <f>IFERROR(VLOOKUP($D1063,Insumos!$B:$U,D$1,0),"")</f>
        <v>Grs</v>
      </c>
      <c r="F1063" s="70">
        <v>250.0</v>
      </c>
      <c r="G1063" s="70">
        <f>IFERROR(VLOOKUP($D1063,Insumos!$B:$U,G$1,0)/VLOOKUP($D1063,Insumos!$B:$U,F$1,0),"")</f>
        <v>11</v>
      </c>
      <c r="H1063" s="70">
        <v>156.0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2.75" customHeight="1">
      <c r="A1064" s="2"/>
      <c r="B1064" s="13">
        <f t="shared" si="448"/>
        <v>116</v>
      </c>
      <c r="C1064" s="13" t="str">
        <f t="shared" si="449"/>
        <v>Bizcochuelo 22 cm </v>
      </c>
      <c r="D1064" s="13" t="s">
        <v>466</v>
      </c>
      <c r="E1064" s="13" t="str">
        <f>IFERROR(VLOOKUP($D1064,Insumos!$B:$U,D$1,0),"")</f>
        <v>Grs</v>
      </c>
      <c r="F1064" s="70">
        <v>2000.0</v>
      </c>
      <c r="G1064" s="70">
        <f>IFERROR(VLOOKUP($D1064,Insumos!$B:$U,G$1,0)/VLOOKUP($D1064,Insumos!$B:$U,F$1,0),"")</f>
        <v>3.4</v>
      </c>
      <c r="H1064" s="70">
        <f t="shared" ref="H1064:H1285" si="450">IFERROR(F1064*G1064,"")</f>
        <v>6800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2.75" customHeight="1">
      <c r="A1065" s="2"/>
      <c r="B1065" s="13">
        <f t="shared" si="448"/>
        <v>116</v>
      </c>
      <c r="C1065" s="13" t="str">
        <f t="shared" si="449"/>
        <v>Bizcochuelo 22 cm </v>
      </c>
      <c r="D1065" s="13" t="s">
        <v>440</v>
      </c>
      <c r="E1065" s="13" t="str">
        <f>IFERROR(VLOOKUP($D1065,Insumos!$B:$U,D$1,0),"")</f>
        <v>Unidad</v>
      </c>
      <c r="F1065" s="70">
        <v>1.0</v>
      </c>
      <c r="G1065" s="70">
        <f>IFERROR(VLOOKUP($D1065,Insumos!$B:$U,G$1,0)/VLOOKUP($D1065,Insumos!$B:$U,F$1,0),"")</f>
        <v>2500</v>
      </c>
      <c r="H1065" s="70">
        <f t="shared" si="450"/>
        <v>2500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2.75" customHeight="1">
      <c r="A1066" s="2"/>
      <c r="B1066" s="13">
        <f t="shared" si="448"/>
        <v>116</v>
      </c>
      <c r="C1066" s="13" t="str">
        <f t="shared" si="449"/>
        <v>Bizcochuelo 22 cm </v>
      </c>
      <c r="D1066" s="13" t="s">
        <v>462</v>
      </c>
      <c r="E1066" s="13" t="str">
        <f>IFERROR(VLOOKUP($D1066,Insumos!$B:$U,D$1,0),"")</f>
        <v>Grs</v>
      </c>
      <c r="F1066" s="70">
        <v>1000.0</v>
      </c>
      <c r="G1066" s="70">
        <f>IFERROR(VLOOKUP($D1066,Insumos!$B:$U,G$1,0)/VLOOKUP($D1066,Insumos!$B:$U,F$1,0),"")</f>
        <v>9.2</v>
      </c>
      <c r="H1066" s="70">
        <f t="shared" si="450"/>
        <v>9200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2.75" customHeight="1">
      <c r="A1067" s="2"/>
      <c r="B1067" s="81">
        <f t="shared" si="448"/>
        <v>116</v>
      </c>
      <c r="C1067" s="81" t="str">
        <f t="shared" si="449"/>
        <v>Bizcochuelo 22 cm </v>
      </c>
      <c r="D1067" s="81" t="s">
        <v>406</v>
      </c>
      <c r="E1067" s="81" t="str">
        <f>IFERROR(VLOOKUP($D1067,Insumos!$B:$U,D$1,0),"")</f>
        <v>Unidad</v>
      </c>
      <c r="F1067" s="82">
        <v>1.0</v>
      </c>
      <c r="G1067" s="82">
        <f>IFERROR(VLOOKUP($D1067,Insumos!$B:$U,G$1,0)/VLOOKUP($D1067,Insumos!$B:$U,F$1,0),"")</f>
        <v>2250</v>
      </c>
      <c r="H1067" s="82">
        <f t="shared" si="450"/>
        <v>2250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2.75" customHeight="1">
      <c r="A1068" s="2"/>
      <c r="B1068" s="13">
        <v>117.0</v>
      </c>
      <c r="C1068" s="13" t="s">
        <v>718</v>
      </c>
      <c r="D1068" s="13" t="s">
        <v>454</v>
      </c>
      <c r="E1068" s="13" t="str">
        <f>IFERROR(VLOOKUP($D1068,Insumos!$B:$U,D$1,0),"")</f>
        <v>Grs</v>
      </c>
      <c r="F1068" s="70">
        <v>200.0</v>
      </c>
      <c r="G1068" s="70">
        <f>IFERROR(VLOOKUP($D1068,Insumos!$B:$U,G$1,0)/VLOOKUP($D1068,Insumos!$B:$U,F$1,0),"")</f>
        <v>10</v>
      </c>
      <c r="H1068" s="70">
        <f t="shared" si="450"/>
        <v>2000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2.75" customHeight="1">
      <c r="A1069" s="2"/>
      <c r="B1069" s="13">
        <f t="shared" ref="B1069:B1076" si="451">IF($D1068="","",B1068)</f>
        <v>117</v>
      </c>
      <c r="C1069" s="13" t="str">
        <f t="shared" ref="C1069:C1076" si="452">IF($D1069="","",C1068)</f>
        <v>brownie vegano con merengue</v>
      </c>
      <c r="D1069" s="13" t="s">
        <v>395</v>
      </c>
      <c r="E1069" s="13" t="str">
        <f>IFERROR(VLOOKUP($D1069,Insumos!$B:$U,D$1,0),"")</f>
        <v>Grs</v>
      </c>
      <c r="F1069" s="70">
        <v>300.0</v>
      </c>
      <c r="G1069" s="70">
        <f>IFERROR(VLOOKUP($D1069,Insumos!$B:$U,G$1,0)/VLOOKUP($D1069,Insumos!$B:$U,F$1,0),"")</f>
        <v>1.4</v>
      </c>
      <c r="H1069" s="70">
        <f t="shared" si="450"/>
        <v>420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2.75" customHeight="1">
      <c r="A1070" s="2"/>
      <c r="B1070" s="13">
        <f t="shared" si="451"/>
        <v>117</v>
      </c>
      <c r="C1070" s="13" t="str">
        <f t="shared" si="452"/>
        <v>brownie vegano con merengue</v>
      </c>
      <c r="D1070" s="13" t="s">
        <v>388</v>
      </c>
      <c r="E1070" s="13" t="str">
        <f>IFERROR(VLOOKUP($D1070,Insumos!$B:$U,D$1,0),"")</f>
        <v>Cm3</v>
      </c>
      <c r="F1070" s="70">
        <v>30.0</v>
      </c>
      <c r="G1070" s="70">
        <f>IFERROR(VLOOKUP($D1070,Insumos!$B:$U,G$1,0)/VLOOKUP($D1070,Insumos!$B:$U,F$1,0),"")</f>
        <v>1.285714286</v>
      </c>
      <c r="H1070" s="70">
        <f t="shared" si="450"/>
        <v>38.57142857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2.75" customHeight="1">
      <c r="A1071" s="2"/>
      <c r="B1071" s="13">
        <f t="shared" si="451"/>
        <v>117</v>
      </c>
      <c r="C1071" s="13" t="str">
        <f t="shared" si="452"/>
        <v>brownie vegano con merengue</v>
      </c>
      <c r="D1071" s="13" t="s">
        <v>656</v>
      </c>
      <c r="E1071" s="13" t="str">
        <f>IFERROR(VLOOKUP($D1071,Insumos!$B:$U,D$1,0),"")</f>
        <v>Grs</v>
      </c>
      <c r="F1071" s="70">
        <v>140.0</v>
      </c>
      <c r="G1071" s="70">
        <f>IFERROR(VLOOKUP($D1071,Insumos!$B:$U,G$1,0)/VLOOKUP($D1071,Insumos!$B:$U,F$1,0),"")</f>
        <v>0.82</v>
      </c>
      <c r="H1071" s="70">
        <f t="shared" si="450"/>
        <v>114.8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2.75" customHeight="1">
      <c r="A1072" s="2"/>
      <c r="B1072" s="13">
        <f t="shared" si="451"/>
        <v>117</v>
      </c>
      <c r="C1072" s="13" t="str">
        <f t="shared" si="452"/>
        <v>brownie vegano con merengue</v>
      </c>
      <c r="D1072" s="13" t="s">
        <v>422</v>
      </c>
      <c r="E1072" s="13" t="str">
        <f>IFERROR(VLOOKUP($D1072,Insumos!$B:$U,D$1,0),"")</f>
        <v>Grs</v>
      </c>
      <c r="F1072" s="70">
        <v>20.0</v>
      </c>
      <c r="G1072" s="70">
        <f>IFERROR(VLOOKUP($D1072,Insumos!$B:$U,G$1,0)/VLOOKUP($D1072,Insumos!$B:$U,F$1,0),"")</f>
        <v>36.11111111</v>
      </c>
      <c r="H1072" s="70">
        <f t="shared" si="450"/>
        <v>722.2222222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2.75" customHeight="1">
      <c r="A1073" s="2"/>
      <c r="B1073" s="13">
        <f t="shared" si="451"/>
        <v>117</v>
      </c>
      <c r="C1073" s="13" t="str">
        <f t="shared" si="452"/>
        <v>brownie vegano con merengue</v>
      </c>
      <c r="D1073" s="13" t="s">
        <v>404</v>
      </c>
      <c r="E1073" s="13" t="str">
        <f>IFERROR(VLOOKUP($D1073,Insumos!$B:$U,D$1,0),"")</f>
        <v>Unidad</v>
      </c>
      <c r="F1073" s="70">
        <v>1.0</v>
      </c>
      <c r="G1073" s="70">
        <f>IFERROR(VLOOKUP($D1073,Insumos!$B:$U,G$1,0)/VLOOKUP($D1073,Insumos!$B:$U,F$1,0),"")</f>
        <v>1300</v>
      </c>
      <c r="H1073" s="70">
        <f t="shared" si="450"/>
        <v>1300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2.75" customHeight="1">
      <c r="A1074" s="2"/>
      <c r="B1074" s="13">
        <f t="shared" si="451"/>
        <v>117</v>
      </c>
      <c r="C1074" s="13" t="str">
        <f t="shared" si="452"/>
        <v>brownie vegano con merengue</v>
      </c>
      <c r="D1074" s="13" t="s">
        <v>426</v>
      </c>
      <c r="E1074" s="13" t="str">
        <f>IFERROR(VLOOKUP($D1074,Insumos!$B:$U,D$1,0),"")</f>
        <v>Unidad</v>
      </c>
      <c r="F1074" s="70">
        <v>1.0</v>
      </c>
      <c r="G1074" s="70">
        <f>IFERROR(VLOOKUP($D1074,Insumos!$B:$U,G$1,0)/VLOOKUP($D1074,Insumos!$B:$U,F$1,0),"")</f>
        <v>975</v>
      </c>
      <c r="H1074" s="70">
        <f t="shared" si="450"/>
        <v>975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2.75" customHeight="1">
      <c r="A1075" s="2"/>
      <c r="B1075" s="13">
        <f t="shared" si="451"/>
        <v>117</v>
      </c>
      <c r="C1075" s="13" t="str">
        <f t="shared" si="452"/>
        <v>brownie vegano con merengue</v>
      </c>
      <c r="D1075" s="13" t="s">
        <v>467</v>
      </c>
      <c r="E1075" s="13" t="str">
        <f>IFERROR(VLOOKUP($D1075,Insumos!$B:$U,D$1,0),"")</f>
        <v>Grs</v>
      </c>
      <c r="F1075" s="70">
        <v>400.0</v>
      </c>
      <c r="G1075" s="70">
        <f>IFERROR(VLOOKUP($D1075,Insumos!$B:$U,G$1,0)/VLOOKUP($D1075,Insumos!$B:$U,F$1,0),"")</f>
        <v>8.196721311</v>
      </c>
      <c r="H1075" s="70">
        <f t="shared" si="450"/>
        <v>3278.688525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2.75" customHeight="1">
      <c r="A1076" s="2"/>
      <c r="B1076" s="81">
        <f t="shared" si="451"/>
        <v>117</v>
      </c>
      <c r="C1076" s="81" t="str">
        <f t="shared" si="452"/>
        <v>brownie vegano con merengue</v>
      </c>
      <c r="D1076" s="81" t="s">
        <v>393</v>
      </c>
      <c r="E1076" s="81" t="str">
        <f>IFERROR(VLOOKUP($D1076,Insumos!$B:$U,D$1,0),"")</f>
        <v>Cm3</v>
      </c>
      <c r="F1076" s="82">
        <v>100.0</v>
      </c>
      <c r="G1076" s="82">
        <f>IFERROR(VLOOKUP($D1076,Insumos!$B:$U,G$1,0)/VLOOKUP($D1076,Insumos!$B:$U,F$1,0),"")</f>
        <v>5.533783784</v>
      </c>
      <c r="H1076" s="82">
        <f t="shared" si="450"/>
        <v>553.3783784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2.75" customHeight="1">
      <c r="A1077" s="2"/>
      <c r="B1077" s="13">
        <v>118.0</v>
      </c>
      <c r="C1077" s="13" t="s">
        <v>719</v>
      </c>
      <c r="D1077" s="13" t="s">
        <v>551</v>
      </c>
      <c r="E1077" s="13" t="str">
        <f>IFERROR(VLOOKUP($D1077,Insumos!$B:$U,D$1,0),"")</f>
        <v>Unidad</v>
      </c>
      <c r="F1077" s="70">
        <v>6.0</v>
      </c>
      <c r="G1077" s="70">
        <f>IFERROR(VLOOKUP($D1077,Insumos!$B:$U,G$1,0)/VLOOKUP($D1077,Insumos!$B:$U,F$1,0),"")</f>
        <v>146</v>
      </c>
      <c r="H1077" s="70">
        <f t="shared" si="450"/>
        <v>876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2.75" customHeight="1">
      <c r="A1078" s="2"/>
      <c r="B1078" s="13">
        <f t="shared" ref="B1078:B1080" si="453">IF($D1077="","",B1077)</f>
        <v>118</v>
      </c>
      <c r="C1078" s="13" t="str">
        <f t="shared" ref="C1078:C1080" si="454">IF($D1078="","",C1077)</f>
        <v>Dessert shot x6 Oreo</v>
      </c>
      <c r="D1078" s="13" t="s">
        <v>462</v>
      </c>
      <c r="E1078" s="13" t="str">
        <f>IFERROR(VLOOKUP($D1078,Insumos!$B:$U,D$1,0),"")</f>
        <v>Grs</v>
      </c>
      <c r="F1078" s="70">
        <v>100.0</v>
      </c>
      <c r="G1078" s="70">
        <f>IFERROR(VLOOKUP($D1078,Insumos!$B:$U,G$1,0)/VLOOKUP($D1078,Insumos!$B:$U,F$1,0),"")</f>
        <v>9.2</v>
      </c>
      <c r="H1078" s="70">
        <f t="shared" si="450"/>
        <v>920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2.75" customHeight="1">
      <c r="A1079" s="2"/>
      <c r="B1079" s="13">
        <f t="shared" si="453"/>
        <v>118</v>
      </c>
      <c r="C1079" s="13" t="str">
        <f t="shared" si="454"/>
        <v>Dessert shot x6 Oreo</v>
      </c>
      <c r="D1079" s="13" t="s">
        <v>519</v>
      </c>
      <c r="E1079" s="13" t="str">
        <f>IFERROR(VLOOKUP($D1079,Insumos!$B:$U,D$1,0),"")</f>
        <v>Grs</v>
      </c>
      <c r="F1079" s="70">
        <v>117.0</v>
      </c>
      <c r="G1079" s="70">
        <f>IFERROR(VLOOKUP($D1079,Insumos!$B:$U,G$1,0)/VLOOKUP($D1079,Insumos!$B:$U,F$1,0),"")</f>
        <v>14.52991453</v>
      </c>
      <c r="H1079" s="70">
        <f t="shared" si="450"/>
        <v>1700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2.75" customHeight="1">
      <c r="A1080" s="2"/>
      <c r="B1080" s="13">
        <f t="shared" si="453"/>
        <v>118</v>
      </c>
      <c r="C1080" s="13" t="str">
        <f t="shared" si="454"/>
        <v>Dessert shot x6 Oreo</v>
      </c>
      <c r="D1080" s="13" t="s">
        <v>466</v>
      </c>
      <c r="E1080" s="13" t="str">
        <f>IFERROR(VLOOKUP($D1080,Insumos!$B:$U,D$1,0),"")</f>
        <v>Grs</v>
      </c>
      <c r="F1080" s="70">
        <v>200.0</v>
      </c>
      <c r="G1080" s="70">
        <f>IFERROR(VLOOKUP($D1080,Insumos!$B:$U,G$1,0)/VLOOKUP($D1080,Insumos!$B:$U,F$1,0),"")</f>
        <v>3.4</v>
      </c>
      <c r="H1080" s="70">
        <f t="shared" si="450"/>
        <v>680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2.75" customHeight="1">
      <c r="A1081" s="2"/>
      <c r="B1081" s="13">
        <f t="shared" ref="B1081:B1082" si="455">IF($D1079="","",B1079)</f>
        <v>118</v>
      </c>
      <c r="C1081" s="13" t="str">
        <f t="shared" ref="C1081:C1082" si="456">IF($D1081="","",C1079)</f>
        <v>Dessert shot x6 Oreo</v>
      </c>
      <c r="D1081" s="13" t="s">
        <v>504</v>
      </c>
      <c r="E1081" s="13" t="str">
        <f>IFERROR(VLOOKUP($D1081,Insumos!$B:$U,D$1,0),"")</f>
        <v>Unidad</v>
      </c>
      <c r="F1081" s="70">
        <v>1.0</v>
      </c>
      <c r="G1081" s="70">
        <f>IFERROR(VLOOKUP($D1081,Insumos!$B:$U,G$1,0)/VLOOKUP($D1081,Insumos!$B:$U,F$1,0),"")</f>
        <v>400</v>
      </c>
      <c r="H1081" s="70">
        <f t="shared" si="450"/>
        <v>400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2.75" customHeight="1">
      <c r="A1082" s="2"/>
      <c r="B1082" s="116">
        <f t="shared" si="455"/>
        <v>118</v>
      </c>
      <c r="C1082" s="116" t="str">
        <f t="shared" si="456"/>
        <v>Dessert shot x6 Oreo</v>
      </c>
      <c r="D1082" s="13" t="s">
        <v>426</v>
      </c>
      <c r="E1082" s="116" t="str">
        <f>IFERROR(VLOOKUP($D1082,Insumos!$B:$U,D$1,0),"")</f>
        <v>Unidad</v>
      </c>
      <c r="F1082" s="117">
        <v>1.0</v>
      </c>
      <c r="G1082" s="117">
        <f>IFERROR(VLOOKUP($D1082,Insumos!$B:$U,G$1,0)/VLOOKUP($D1082,Insumos!$B:$U,F$1,0),"")</f>
        <v>975</v>
      </c>
      <c r="H1082" s="117">
        <f t="shared" si="450"/>
        <v>975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2.75" customHeight="1">
      <c r="A1083" s="2"/>
      <c r="B1083" s="13">
        <v>119.0</v>
      </c>
      <c r="C1083" s="13" t="s">
        <v>720</v>
      </c>
      <c r="D1083" s="13" t="s">
        <v>551</v>
      </c>
      <c r="E1083" s="13" t="str">
        <f>IFERROR(VLOOKUP($D1083,Insumos!$B:$U,D$1,0),"")</f>
        <v>Unidad</v>
      </c>
      <c r="F1083" s="70">
        <v>6.0</v>
      </c>
      <c r="G1083" s="70">
        <f>IFERROR(VLOOKUP($D1083,Insumos!$B:$U,G$1,0)/VLOOKUP($D1083,Insumos!$B:$U,F$1,0),"")</f>
        <v>146</v>
      </c>
      <c r="H1083" s="70">
        <f t="shared" si="450"/>
        <v>876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2.75" customHeight="1">
      <c r="A1084" s="2"/>
      <c r="B1084" s="13">
        <f t="shared" ref="B1084:B1087" si="457">IF($D1083="","",B1083)</f>
        <v>119</v>
      </c>
      <c r="C1084" s="13" t="str">
        <f t="shared" ref="C1084:C1087" si="458">IF($D1084="","",C1083)</f>
        <v>Dessert shot x6 Chocotorta</v>
      </c>
      <c r="D1084" s="13" t="s">
        <v>533</v>
      </c>
      <c r="E1084" s="13" t="str">
        <f>IFERROR(VLOOKUP($D1084,Insumos!$B:$U,D$1,0),"")</f>
        <v>Grs</v>
      </c>
      <c r="F1084" s="70">
        <v>150.0</v>
      </c>
      <c r="G1084" s="70">
        <f>IFERROR(VLOOKUP($D1084,Insumos!$B:$U,G$1,0)/VLOOKUP($D1084,Insumos!$B:$U,F$1,0),"")</f>
        <v>7.428571429</v>
      </c>
      <c r="H1084" s="70">
        <f t="shared" si="450"/>
        <v>1114.285714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2.75" customHeight="1">
      <c r="A1085" s="2"/>
      <c r="B1085" s="13">
        <f t="shared" si="457"/>
        <v>119</v>
      </c>
      <c r="C1085" s="13" t="str">
        <f t="shared" si="458"/>
        <v>Dessert shot x6 Chocotorta</v>
      </c>
      <c r="D1085" s="13" t="s">
        <v>455</v>
      </c>
      <c r="E1085" s="13" t="str">
        <f>IFERROR(VLOOKUP($D1085,Insumos!$B:$U,D$1,0),"")</f>
        <v>Grs</v>
      </c>
      <c r="F1085" s="70">
        <v>125.0</v>
      </c>
      <c r="G1085" s="70">
        <f>IFERROR(VLOOKUP($D1085,Insumos!$B:$U,G$1,0)/VLOOKUP($D1085,Insumos!$B:$U,F$1,0),"")</f>
        <v>7.6</v>
      </c>
      <c r="H1085" s="70">
        <f t="shared" si="450"/>
        <v>950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2.75" customHeight="1">
      <c r="A1086" s="2"/>
      <c r="B1086" s="13">
        <f t="shared" si="457"/>
        <v>119</v>
      </c>
      <c r="C1086" s="13" t="str">
        <f t="shared" si="458"/>
        <v>Dessert shot x6 Chocotorta</v>
      </c>
      <c r="D1086" s="13" t="s">
        <v>466</v>
      </c>
      <c r="E1086" s="13" t="str">
        <f>IFERROR(VLOOKUP($D1086,Insumos!$B:$U,D$1,0),"")</f>
        <v>Grs</v>
      </c>
      <c r="F1086" s="70">
        <v>200.0</v>
      </c>
      <c r="G1086" s="70">
        <f>IFERROR(VLOOKUP($D1086,Insumos!$B:$U,G$1,0)/VLOOKUP($D1086,Insumos!$B:$U,F$1,0),"")</f>
        <v>3.4</v>
      </c>
      <c r="H1086" s="70">
        <f t="shared" si="450"/>
        <v>680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2.75" customHeight="1">
      <c r="A1087" s="2"/>
      <c r="B1087" s="13">
        <f t="shared" si="457"/>
        <v>119</v>
      </c>
      <c r="C1087" s="13" t="str">
        <f t="shared" si="458"/>
        <v>Dessert shot x6 Chocotorta</v>
      </c>
      <c r="D1087" s="13" t="s">
        <v>504</v>
      </c>
      <c r="E1087" s="13" t="str">
        <f>IFERROR(VLOOKUP($D1087,Insumos!$B:$U,D$1,0),"")</f>
        <v>Unidad</v>
      </c>
      <c r="F1087" s="70">
        <v>1.0</v>
      </c>
      <c r="G1087" s="70">
        <f>IFERROR(VLOOKUP($D1087,Insumos!$B:$U,G$1,0)/VLOOKUP($D1087,Insumos!$B:$U,F$1,0),"")</f>
        <v>400</v>
      </c>
      <c r="H1087" s="70">
        <f t="shared" si="450"/>
        <v>400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2.75" customHeight="1">
      <c r="A1088" s="2"/>
      <c r="B1088" s="116">
        <f>IF($D1086="","",B1086)</f>
        <v>119</v>
      </c>
      <c r="C1088" s="116" t="str">
        <f>IF($D1088="","",C1086)</f>
        <v>Dessert shot x6 Chocotorta</v>
      </c>
      <c r="D1088" s="13" t="s">
        <v>426</v>
      </c>
      <c r="E1088" s="116" t="str">
        <f>IFERROR(VLOOKUP($D1088,Insumos!$B:$U,D$1,0),"")</f>
        <v>Unidad</v>
      </c>
      <c r="F1088" s="117">
        <v>1.0</v>
      </c>
      <c r="G1088" s="117">
        <f>IFERROR(VLOOKUP($D1088,Insumos!$B:$U,G$1,0)/VLOOKUP($D1088,Insumos!$B:$U,F$1,0),"")</f>
        <v>975</v>
      </c>
      <c r="H1088" s="117">
        <f t="shared" si="450"/>
        <v>975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2.75" customHeight="1">
      <c r="A1089" s="2"/>
      <c r="B1089" s="13">
        <v>120.0</v>
      </c>
      <c r="C1089" s="13" t="s">
        <v>721</v>
      </c>
      <c r="D1089" s="13" t="s">
        <v>551</v>
      </c>
      <c r="E1089" s="13" t="str">
        <f>IFERROR(VLOOKUP($D1089,Insumos!$B:$U,D$1,0),"")</f>
        <v>Unidad</v>
      </c>
      <c r="F1089" s="70">
        <v>6.0</v>
      </c>
      <c r="G1089" s="70">
        <f>IFERROR(VLOOKUP($D1089,Insumos!$B:$U,G$1,0)/VLOOKUP($D1089,Insumos!$B:$U,F$1,0),"")</f>
        <v>146</v>
      </c>
      <c r="H1089" s="70">
        <f t="shared" si="450"/>
        <v>876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2.75" customHeight="1">
      <c r="A1090" s="2"/>
      <c r="B1090" s="13">
        <f t="shared" ref="B1090:B1099" si="459">IF($D1089="","",B1089)</f>
        <v>120</v>
      </c>
      <c r="C1090" s="13" t="str">
        <f t="shared" ref="C1090:C1099" si="460">IF($D1090="","",C1089)</f>
        <v>Dessert shot x6 Lemon Pie</v>
      </c>
      <c r="D1090" s="13" t="s">
        <v>505</v>
      </c>
      <c r="E1090" s="13" t="str">
        <f>IFERROR(VLOOKUP($D1090,Insumos!$B:$U,D$1,0),"")</f>
        <v>Grs</v>
      </c>
      <c r="F1090" s="70">
        <f>(180+150)/8</f>
        <v>41.25</v>
      </c>
      <c r="G1090" s="70">
        <f>IFERROR(VLOOKUP($D1090,Insumos!$B:$U,G$1,0)/VLOOKUP($D1090,Insumos!$B:$U,F$1,0),"")</f>
        <v>11</v>
      </c>
      <c r="H1090" s="70">
        <f t="shared" si="450"/>
        <v>453.75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2.75" customHeight="1">
      <c r="A1091" s="2"/>
      <c r="B1091" s="13">
        <f t="shared" si="459"/>
        <v>120</v>
      </c>
      <c r="C1091" s="13" t="str">
        <f t="shared" si="460"/>
        <v>Dessert shot x6 Lemon Pie</v>
      </c>
      <c r="D1091" s="13" t="s">
        <v>489</v>
      </c>
      <c r="E1091" s="13" t="str">
        <f>IFERROR(VLOOKUP($D1091,Insumos!$B:$U,D$1,0),"")</f>
        <v>Grs</v>
      </c>
      <c r="F1091" s="70">
        <f>300/8</f>
        <v>37.5</v>
      </c>
      <c r="G1091" s="70">
        <f>IFERROR(VLOOKUP($D1091,Insumos!$B:$U,G$1,0)/VLOOKUP($D1091,Insumos!$B:$U,F$1,0),"")</f>
        <v>0.82</v>
      </c>
      <c r="H1091" s="70">
        <f t="shared" si="450"/>
        <v>30.75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2.75" customHeight="1">
      <c r="A1092" s="2"/>
      <c r="B1092" s="13">
        <f t="shared" si="459"/>
        <v>120</v>
      </c>
      <c r="C1092" s="13" t="str">
        <f t="shared" si="460"/>
        <v>Dessert shot x6 Lemon Pie</v>
      </c>
      <c r="D1092" s="13" t="s">
        <v>397</v>
      </c>
      <c r="E1092" s="13" t="str">
        <f>IFERROR(VLOOKUP($D1092,Insumos!$B:$U,D$1,0),"")</f>
        <v>Grs</v>
      </c>
      <c r="F1092" s="70">
        <f>120/8</f>
        <v>15</v>
      </c>
      <c r="G1092" s="70">
        <f>IFERROR(VLOOKUP($D1092,Insumos!$B:$U,G$1,0)/VLOOKUP($D1092,Insumos!$B:$U,F$1,0),"")</f>
        <v>1.5</v>
      </c>
      <c r="H1092" s="70">
        <f t="shared" si="450"/>
        <v>22.5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2.75" customHeight="1">
      <c r="A1093" s="2"/>
      <c r="B1093" s="13">
        <f t="shared" si="459"/>
        <v>120</v>
      </c>
      <c r="C1093" s="13" t="str">
        <f t="shared" si="460"/>
        <v>Dessert shot x6 Lemon Pie</v>
      </c>
      <c r="D1093" s="13" t="s">
        <v>492</v>
      </c>
      <c r="E1093" s="13" t="str">
        <f>IFERROR(VLOOKUP($D1093,Insumos!$B:$U,D$1,0),"")</f>
        <v>Unidad</v>
      </c>
      <c r="F1093" s="70">
        <f>(2+4+2)/8</f>
        <v>1</v>
      </c>
      <c r="G1093" s="70">
        <f>IFERROR(VLOOKUP($D1093,Insumos!$B:$U,G$1,0)/VLOOKUP($D1093,Insumos!$B:$U,F$1,0),"")</f>
        <v>166.6666667</v>
      </c>
      <c r="H1093" s="70">
        <f t="shared" si="450"/>
        <v>166.6666667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2.75" customHeight="1">
      <c r="A1094" s="2"/>
      <c r="B1094" s="13">
        <f t="shared" si="459"/>
        <v>120</v>
      </c>
      <c r="C1094" s="13" t="str">
        <f t="shared" si="460"/>
        <v>Dessert shot x6 Lemon Pie</v>
      </c>
      <c r="D1094" s="13" t="s">
        <v>468</v>
      </c>
      <c r="E1094" s="13" t="str">
        <f>IFERROR(VLOOKUP($D1094,Insumos!$B:$U,D$1,0),"")</f>
        <v>Cm3</v>
      </c>
      <c r="F1094" s="70">
        <f>10/8</f>
        <v>1.25</v>
      </c>
      <c r="G1094" s="70">
        <f>IFERROR(VLOOKUP($D1094,Insumos!$B:$U,G$1,0)/VLOOKUP($D1094,Insumos!$B:$U,F$1,0),"")</f>
        <v>1.52</v>
      </c>
      <c r="H1094" s="70">
        <f t="shared" si="450"/>
        <v>1.9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2.75" customHeight="1">
      <c r="A1095" s="2"/>
      <c r="B1095" s="13">
        <f t="shared" si="459"/>
        <v>120</v>
      </c>
      <c r="C1095" s="13" t="str">
        <f t="shared" si="460"/>
        <v>Dessert shot x6 Lemon Pie</v>
      </c>
      <c r="D1095" s="13" t="s">
        <v>500</v>
      </c>
      <c r="E1095" s="13" t="str">
        <f>IFERROR(VLOOKUP($D1095,Insumos!$B:$U,D$1,0),"")</f>
        <v>Unidad</v>
      </c>
      <c r="F1095" s="70">
        <f>2/8</f>
        <v>0.25</v>
      </c>
      <c r="G1095" s="70">
        <f>IFERROR(VLOOKUP($D1095,Insumos!$B:$U,G$1,0)/VLOOKUP($D1095,Insumos!$B:$U,F$1,0),"")</f>
        <v>180</v>
      </c>
      <c r="H1095" s="70">
        <f t="shared" si="450"/>
        <v>45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2.75" customHeight="1">
      <c r="A1096" s="2"/>
      <c r="B1096" s="13">
        <f t="shared" si="459"/>
        <v>120</v>
      </c>
      <c r="C1096" s="13" t="str">
        <f t="shared" si="460"/>
        <v>Dessert shot x6 Lemon Pie</v>
      </c>
      <c r="D1096" s="13" t="s">
        <v>395</v>
      </c>
      <c r="E1096" s="13" t="str">
        <f>IFERROR(VLOOKUP($D1096,Insumos!$B:$U,D$1,0),"")</f>
        <v>Grs</v>
      </c>
      <c r="F1096" s="70">
        <f>(120+240)/8</f>
        <v>45</v>
      </c>
      <c r="G1096" s="70">
        <f>IFERROR(VLOOKUP($D1096,Insumos!$B:$U,G$1,0)/VLOOKUP($D1096,Insumos!$B:$U,F$1,0),"")</f>
        <v>1.4</v>
      </c>
      <c r="H1096" s="70">
        <f t="shared" si="450"/>
        <v>63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2.75" customHeight="1">
      <c r="A1097" s="2"/>
      <c r="B1097" s="13">
        <f t="shared" si="459"/>
        <v>120</v>
      </c>
      <c r="C1097" s="13" t="str">
        <f t="shared" si="460"/>
        <v>Dessert shot x6 Lemon Pie</v>
      </c>
      <c r="D1097" s="13" t="s">
        <v>504</v>
      </c>
      <c r="E1097" s="13" t="str">
        <f>IFERROR(VLOOKUP($D1097,Insumos!$B:$U,D$1,0),"")</f>
        <v>Unidad</v>
      </c>
      <c r="F1097" s="70">
        <v>1.0</v>
      </c>
      <c r="G1097" s="70">
        <f>IFERROR(VLOOKUP($D1097,Insumos!$B:$U,G$1,0)/VLOOKUP($D1097,Insumos!$B:$U,F$1,0),"")</f>
        <v>400</v>
      </c>
      <c r="H1097" s="70">
        <f t="shared" si="450"/>
        <v>400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2.75" customHeight="1">
      <c r="A1098" s="2"/>
      <c r="B1098" s="13">
        <f t="shared" si="459"/>
        <v>120</v>
      </c>
      <c r="C1098" s="13" t="str">
        <f t="shared" si="460"/>
        <v>Dessert shot x6 Lemon Pie</v>
      </c>
      <c r="D1098" s="13" t="s">
        <v>482</v>
      </c>
      <c r="E1098" s="13" t="str">
        <f>IFERROR(VLOOKUP($D1098,Insumos!$B:$U,D$1,0),"")</f>
        <v>Grs</v>
      </c>
      <c r="F1098" s="70">
        <f>10/8</f>
        <v>1.25</v>
      </c>
      <c r="G1098" s="70">
        <f>IFERROR(VLOOKUP($D1098,Insumos!$B:$U,G$1,0)/VLOOKUP($D1098,Insumos!$B:$U,F$1,0),"")</f>
        <v>18</v>
      </c>
      <c r="H1098" s="70">
        <f t="shared" si="450"/>
        <v>22.5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2.75" customHeight="1">
      <c r="A1099" s="2"/>
      <c r="B1099" s="116">
        <f t="shared" si="459"/>
        <v>120</v>
      </c>
      <c r="C1099" s="116" t="str">
        <f t="shared" si="460"/>
        <v>Dessert shot x6 Lemon Pie</v>
      </c>
      <c r="D1099" s="13" t="s">
        <v>426</v>
      </c>
      <c r="E1099" s="116" t="str">
        <f>IFERROR(VLOOKUP($D1099,Insumos!$B:$U,D$1,0),"")</f>
        <v>Unidad</v>
      </c>
      <c r="F1099" s="117">
        <v>1.0</v>
      </c>
      <c r="G1099" s="117">
        <f>IFERROR(VLOOKUP($D1099,Insumos!$B:$U,G$1,0)/VLOOKUP($D1099,Insumos!$B:$U,F$1,0),"")</f>
        <v>975</v>
      </c>
      <c r="H1099" s="117">
        <f t="shared" si="450"/>
        <v>975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2.75" customHeight="1">
      <c r="A1100" s="2"/>
      <c r="B1100" s="13">
        <v>121.0</v>
      </c>
      <c r="C1100" s="13" t="s">
        <v>722</v>
      </c>
      <c r="D1100" s="66" t="s">
        <v>481</v>
      </c>
      <c r="E1100" s="66" t="str">
        <f>IFERROR(VLOOKUP($D1100,Insumos!$B:$U,D$1,0),"")</f>
        <v>Grs</v>
      </c>
      <c r="F1100" s="67">
        <f>300/8</f>
        <v>37.5</v>
      </c>
      <c r="G1100" s="70">
        <f>IFERROR(VLOOKUP($D1100,Insumos!$B:$U,G$1,0)/VLOOKUP($D1100,Insumos!$B:$U,F$1,0),"")</f>
        <v>10.45751634</v>
      </c>
      <c r="H1100" s="70">
        <f t="shared" si="450"/>
        <v>392.1568627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2.75" customHeight="1">
      <c r="A1101" s="2"/>
      <c r="B1101" s="13">
        <f t="shared" ref="B1101:B1109" si="461">IF($D1100="","",B1100)</f>
        <v>121</v>
      </c>
      <c r="C1101" s="13" t="str">
        <f t="shared" ref="C1101:C1109" si="462">IF($D1101="","",C1100)</f>
        <v>Dessert shot x6 Cheescake</v>
      </c>
      <c r="D1101" s="13" t="s">
        <v>568</v>
      </c>
      <c r="E1101" s="13" t="str">
        <f>IFERROR(VLOOKUP($D1101,Insumos!$B:$U,D$1,0),"")</f>
        <v>Grs</v>
      </c>
      <c r="F1101" s="70">
        <f>130/8</f>
        <v>16.25</v>
      </c>
      <c r="G1101" s="70">
        <f>IFERROR(VLOOKUP($D1101,Insumos!$B:$U,G$1,0)/VLOOKUP($D1101,Insumos!$B:$U,F$1,0),"")</f>
        <v>11</v>
      </c>
      <c r="H1101" s="70">
        <f t="shared" si="450"/>
        <v>178.75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2.75" customHeight="1">
      <c r="A1102" s="2"/>
      <c r="B1102" s="13">
        <f t="shared" si="461"/>
        <v>121</v>
      </c>
      <c r="C1102" s="13" t="str">
        <f t="shared" si="462"/>
        <v>Dessert shot x6 Cheescake</v>
      </c>
      <c r="D1102" s="13" t="s">
        <v>614</v>
      </c>
      <c r="E1102" s="13" t="str">
        <f>IFERROR(VLOOKUP($D1102,Insumos!$B:$U,D$1,0),"")</f>
        <v>Cm3</v>
      </c>
      <c r="F1102" s="70">
        <f>10/8</f>
        <v>1.25</v>
      </c>
      <c r="G1102" s="70">
        <f>IFERROR(VLOOKUP($D1102,Insumos!$B:$U,G$1,0)/VLOOKUP($D1102,Insumos!$B:$U,F$1,0),"")</f>
        <v>4.5</v>
      </c>
      <c r="H1102" s="70">
        <f t="shared" si="450"/>
        <v>5.625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2.75" customHeight="1">
      <c r="A1103" s="2"/>
      <c r="B1103" s="13">
        <f t="shared" si="461"/>
        <v>121</v>
      </c>
      <c r="C1103" s="13" t="str">
        <f t="shared" si="462"/>
        <v>Dessert shot x6 Cheescake</v>
      </c>
      <c r="D1103" s="13" t="s">
        <v>533</v>
      </c>
      <c r="E1103" s="13" t="str">
        <f>IFERROR(VLOOKUP($D1103,Insumos!$B:$U,D$1,0),"")</f>
        <v>Grs</v>
      </c>
      <c r="F1103" s="70">
        <f>600/8</f>
        <v>75</v>
      </c>
      <c r="G1103" s="70">
        <f>IFERROR(VLOOKUP($D1103,Insumos!$B:$U,G$1,0)/VLOOKUP($D1103,Insumos!$B:$U,F$1,0),"")</f>
        <v>7.428571429</v>
      </c>
      <c r="H1103" s="70">
        <f t="shared" si="450"/>
        <v>557.1428571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2.75" customHeight="1">
      <c r="A1104" s="2"/>
      <c r="B1104" s="13">
        <f t="shared" si="461"/>
        <v>121</v>
      </c>
      <c r="C1104" s="13" t="str">
        <f t="shared" si="462"/>
        <v>Dessert shot x6 Cheescake</v>
      </c>
      <c r="D1104" s="13" t="s">
        <v>395</v>
      </c>
      <c r="E1104" s="13" t="str">
        <f>IFERROR(VLOOKUP($D1104,Insumos!$B:$U,D$1,0),"")</f>
        <v>Grs</v>
      </c>
      <c r="F1104" s="70">
        <f>200/8</f>
        <v>25</v>
      </c>
      <c r="G1104" s="70">
        <f>IFERROR(VLOOKUP($D1104,Insumos!$B:$U,G$1,0)/VLOOKUP($D1104,Insumos!$B:$U,F$1,0),"")</f>
        <v>1.4</v>
      </c>
      <c r="H1104" s="70">
        <f t="shared" si="450"/>
        <v>35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2.75" customHeight="1">
      <c r="A1105" s="2"/>
      <c r="B1105" s="13">
        <f t="shared" si="461"/>
        <v>121</v>
      </c>
      <c r="C1105" s="13" t="str">
        <f t="shared" si="462"/>
        <v>Dessert shot x6 Cheescake</v>
      </c>
      <c r="D1105" s="13" t="s">
        <v>462</v>
      </c>
      <c r="E1105" s="13" t="str">
        <f>IFERROR(VLOOKUP($D1105,Insumos!$B:$U,D$1,0),"")</f>
        <v>Grs</v>
      </c>
      <c r="F1105" s="70">
        <f>180/8</f>
        <v>22.5</v>
      </c>
      <c r="G1105" s="70">
        <f>IFERROR(VLOOKUP($D1105,Insumos!$B:$U,G$1,0)/VLOOKUP($D1105,Insumos!$B:$U,F$1,0),"")</f>
        <v>9.2</v>
      </c>
      <c r="H1105" s="70">
        <f t="shared" si="450"/>
        <v>207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2.75" customHeight="1">
      <c r="A1106" s="2"/>
      <c r="B1106" s="13">
        <f t="shared" si="461"/>
        <v>121</v>
      </c>
      <c r="C1106" s="13" t="str">
        <f t="shared" si="462"/>
        <v>Dessert shot x6 Cheescake</v>
      </c>
      <c r="D1106" s="13" t="s">
        <v>492</v>
      </c>
      <c r="E1106" s="13" t="str">
        <f>IFERROR(VLOOKUP($D1106,Insumos!$B:$U,D$1,0),"")</f>
        <v>Unidad</v>
      </c>
      <c r="F1106" s="70">
        <f>4/8</f>
        <v>0.5</v>
      </c>
      <c r="G1106" s="70">
        <f>IFERROR(VLOOKUP($D1106,Insumos!$B:$U,G$1,0)/VLOOKUP($D1106,Insumos!$B:$U,F$1,0),"")</f>
        <v>166.6666667</v>
      </c>
      <c r="H1106" s="70">
        <f t="shared" si="450"/>
        <v>83.33333333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2.75" customHeight="1">
      <c r="A1107" s="2"/>
      <c r="B1107" s="13">
        <f t="shared" si="461"/>
        <v>121</v>
      </c>
      <c r="C1107" s="13" t="str">
        <f t="shared" si="462"/>
        <v>Dessert shot x6 Cheescake</v>
      </c>
      <c r="D1107" s="13" t="s">
        <v>501</v>
      </c>
      <c r="E1107" s="13" t="str">
        <f>IFERROR(VLOOKUP($D1107,Insumos!$B:$U,D$1,0),"")</f>
        <v>Grs</v>
      </c>
      <c r="F1107" s="70">
        <f>8/8</f>
        <v>1</v>
      </c>
      <c r="G1107" s="70">
        <f>IFERROR(VLOOKUP($D1107,Insumos!$B:$U,G$1,0)/VLOOKUP($D1107,Insumos!$B:$U,F$1,0),"")</f>
        <v>2.8</v>
      </c>
      <c r="H1107" s="70">
        <f t="shared" si="450"/>
        <v>2.8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2.75" customHeight="1">
      <c r="A1108" s="2"/>
      <c r="B1108" s="13">
        <f t="shared" si="461"/>
        <v>121</v>
      </c>
      <c r="C1108" s="13" t="str">
        <f t="shared" si="462"/>
        <v>Dessert shot x6 Cheescake</v>
      </c>
      <c r="D1108" s="13" t="s">
        <v>551</v>
      </c>
      <c r="E1108" s="13" t="str">
        <f>IFERROR(VLOOKUP($D1108,Insumos!$B:$U,D$1,0),"")</f>
        <v>Unidad</v>
      </c>
      <c r="F1108" s="70">
        <v>6.0</v>
      </c>
      <c r="G1108" s="70">
        <f>IFERROR(VLOOKUP($D1108,Insumos!$B:$U,G$1,0)/VLOOKUP($D1108,Insumos!$B:$U,F$1,0),"")</f>
        <v>146</v>
      </c>
      <c r="H1108" s="70">
        <f t="shared" si="450"/>
        <v>876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2.75" customHeight="1">
      <c r="A1109" s="2"/>
      <c r="B1109" s="13">
        <f t="shared" si="461"/>
        <v>121</v>
      </c>
      <c r="C1109" s="13" t="str">
        <f t="shared" si="462"/>
        <v>Dessert shot x6 Cheescake</v>
      </c>
      <c r="D1109" s="13" t="s">
        <v>504</v>
      </c>
      <c r="E1109" s="13" t="str">
        <f>IFERROR(VLOOKUP($D1109,Insumos!$B:$U,D$1,0),"")</f>
        <v>Unidad</v>
      </c>
      <c r="F1109" s="70">
        <v>1.0</v>
      </c>
      <c r="G1109" s="70">
        <f>IFERROR(VLOOKUP($D1109,Insumos!$B:$U,G$1,0)/VLOOKUP($D1109,Insumos!$B:$U,F$1,0),"")</f>
        <v>400</v>
      </c>
      <c r="H1109" s="70">
        <f t="shared" si="450"/>
        <v>400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2.75" customHeight="1">
      <c r="A1110" s="2"/>
      <c r="B1110" s="116">
        <f>IF($D1108="","",B1108)</f>
        <v>121</v>
      </c>
      <c r="C1110" s="116" t="str">
        <f>IF($D1110="","",C1108)</f>
        <v>Dessert shot x6 Cheescake</v>
      </c>
      <c r="D1110" s="13" t="s">
        <v>426</v>
      </c>
      <c r="E1110" s="116" t="str">
        <f>IFERROR(VLOOKUP($D1110,Insumos!$B:$U,D$1,0),"")</f>
        <v>Unidad</v>
      </c>
      <c r="F1110" s="117">
        <v>1.0</v>
      </c>
      <c r="G1110" s="117">
        <f>IFERROR(VLOOKUP($D1110,Insumos!$B:$U,G$1,0)/VLOOKUP($D1110,Insumos!$B:$U,F$1,0),"")</f>
        <v>975</v>
      </c>
      <c r="H1110" s="117">
        <f t="shared" si="450"/>
        <v>975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2.75" customHeight="1">
      <c r="A1111" s="2"/>
      <c r="B1111" s="13">
        <v>122.0</v>
      </c>
      <c r="C1111" s="13" t="s">
        <v>723</v>
      </c>
      <c r="D1111" s="13" t="s">
        <v>551</v>
      </c>
      <c r="E1111" s="13" t="str">
        <f>IFERROR(VLOOKUP($D1111,Insumos!$B:$U,D$1,0),"")</f>
        <v>Unidad</v>
      </c>
      <c r="F1111" s="70">
        <v>6.0</v>
      </c>
      <c r="G1111" s="70">
        <f>IFERROR(VLOOKUP($D1111,Insumos!$B:$U,G$1,0)/VLOOKUP($D1111,Insumos!$B:$U,F$1,0),"")</f>
        <v>146</v>
      </c>
      <c r="H1111" s="70">
        <f t="shared" si="450"/>
        <v>876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2.75" customHeight="1">
      <c r="A1112" s="2"/>
      <c r="B1112" s="13">
        <f t="shared" ref="B1112:B1121" si="463">IF($D1111="","",B1111)</f>
        <v>122</v>
      </c>
      <c r="C1112" s="13" t="str">
        <f t="shared" ref="C1112:C1121" si="464">IF($D1112="","",C1111)</f>
        <v>Dessert shot x6 Frutillas con crema</v>
      </c>
      <c r="D1112" s="13" t="s">
        <v>505</v>
      </c>
      <c r="E1112" s="13" t="str">
        <f>IFERROR(VLOOKUP($D1112,Insumos!$B:$U,D$1,0),"")</f>
        <v>Grs</v>
      </c>
      <c r="F1112" s="70">
        <f>(180+150)/8</f>
        <v>41.25</v>
      </c>
      <c r="G1112" s="70">
        <f>IFERROR(VLOOKUP($D1112,Insumos!$B:$U,G$1,0)/VLOOKUP($D1112,Insumos!$B:$U,F$1,0),"")</f>
        <v>11</v>
      </c>
      <c r="H1112" s="70">
        <f t="shared" si="450"/>
        <v>453.75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2.75" customHeight="1">
      <c r="A1113" s="2"/>
      <c r="B1113" s="13">
        <f t="shared" si="463"/>
        <v>122</v>
      </c>
      <c r="C1113" s="13" t="str">
        <f t="shared" si="464"/>
        <v>Dessert shot x6 Frutillas con crema</v>
      </c>
      <c r="D1113" s="13" t="s">
        <v>489</v>
      </c>
      <c r="E1113" s="13" t="str">
        <f>IFERROR(VLOOKUP($D1113,Insumos!$B:$U,D$1,0),"")</f>
        <v>Grs</v>
      </c>
      <c r="F1113" s="70">
        <f>300/8</f>
        <v>37.5</v>
      </c>
      <c r="G1113" s="70">
        <f>IFERROR(VLOOKUP($D1113,Insumos!$B:$U,G$1,0)/VLOOKUP($D1113,Insumos!$B:$U,F$1,0),"")</f>
        <v>0.82</v>
      </c>
      <c r="H1113" s="70">
        <f t="shared" si="450"/>
        <v>30.75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2.75" customHeight="1">
      <c r="A1114" s="2"/>
      <c r="B1114" s="13">
        <f t="shared" si="463"/>
        <v>122</v>
      </c>
      <c r="C1114" s="13" t="str">
        <f t="shared" si="464"/>
        <v>Dessert shot x6 Frutillas con crema</v>
      </c>
      <c r="D1114" s="13" t="s">
        <v>397</v>
      </c>
      <c r="E1114" s="13" t="str">
        <f>IFERROR(VLOOKUP($D1114,Insumos!$B:$U,D$1,0),"")</f>
        <v>Grs</v>
      </c>
      <c r="F1114" s="70">
        <f>120/8</f>
        <v>15</v>
      </c>
      <c r="G1114" s="70">
        <f>IFERROR(VLOOKUP($D1114,Insumos!$B:$U,G$1,0)/VLOOKUP($D1114,Insumos!$B:$U,F$1,0),"")</f>
        <v>1.5</v>
      </c>
      <c r="H1114" s="70">
        <f t="shared" si="450"/>
        <v>22.5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2.75" customHeight="1">
      <c r="A1115" s="2"/>
      <c r="B1115" s="13">
        <f t="shared" si="463"/>
        <v>122</v>
      </c>
      <c r="C1115" s="13" t="str">
        <f t="shared" si="464"/>
        <v>Dessert shot x6 Frutillas con crema</v>
      </c>
      <c r="D1115" s="13" t="s">
        <v>492</v>
      </c>
      <c r="E1115" s="13" t="str">
        <f>IFERROR(VLOOKUP($D1115,Insumos!$B:$U,D$1,0),"")</f>
        <v>Unidad</v>
      </c>
      <c r="F1115" s="70">
        <f>(2+4+2)/8</f>
        <v>1</v>
      </c>
      <c r="G1115" s="70">
        <f>IFERROR(VLOOKUP($D1115,Insumos!$B:$U,G$1,0)/VLOOKUP($D1115,Insumos!$B:$U,F$1,0),"")</f>
        <v>166.6666667</v>
      </c>
      <c r="H1115" s="70">
        <f t="shared" si="450"/>
        <v>166.6666667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2.75" customHeight="1">
      <c r="A1116" s="2"/>
      <c r="B1116" s="13">
        <f t="shared" si="463"/>
        <v>122</v>
      </c>
      <c r="C1116" s="13" t="str">
        <f t="shared" si="464"/>
        <v>Dessert shot x6 Frutillas con crema</v>
      </c>
      <c r="D1116" s="13" t="s">
        <v>468</v>
      </c>
      <c r="E1116" s="13" t="str">
        <f>IFERROR(VLOOKUP($D1116,Insumos!$B:$U,D$1,0),"")</f>
        <v>Cm3</v>
      </c>
      <c r="F1116" s="70">
        <f>10/8</f>
        <v>1.25</v>
      </c>
      <c r="G1116" s="70">
        <f>IFERROR(VLOOKUP($D1116,Insumos!$B:$U,G$1,0)/VLOOKUP($D1116,Insumos!$B:$U,F$1,0),"")</f>
        <v>1.52</v>
      </c>
      <c r="H1116" s="70">
        <f t="shared" si="450"/>
        <v>1.9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2.75" customHeight="1">
      <c r="A1117" s="2"/>
      <c r="B1117" s="13">
        <f t="shared" si="463"/>
        <v>122</v>
      </c>
      <c r="C1117" s="13" t="str">
        <f t="shared" si="464"/>
        <v>Dessert shot x6 Frutillas con crema</v>
      </c>
      <c r="D1117" s="13" t="s">
        <v>395</v>
      </c>
      <c r="E1117" s="13" t="str">
        <f>IFERROR(VLOOKUP($D1117,Insumos!$B:$U,D$1,0),"")</f>
        <v>Grs</v>
      </c>
      <c r="F1117" s="70">
        <f>(120+240)/8</f>
        <v>45</v>
      </c>
      <c r="G1117" s="70">
        <f>IFERROR(VLOOKUP($D1117,Insumos!$B:$U,G$1,0)/VLOOKUP($D1117,Insumos!$B:$U,F$1,0),"")</f>
        <v>1.4</v>
      </c>
      <c r="H1117" s="70">
        <f t="shared" si="450"/>
        <v>63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2.75" customHeight="1">
      <c r="A1118" s="2"/>
      <c r="B1118" s="13">
        <f t="shared" si="463"/>
        <v>122</v>
      </c>
      <c r="C1118" s="13" t="str">
        <f t="shared" si="464"/>
        <v>Dessert shot x6 Frutillas con crema</v>
      </c>
      <c r="D1118" s="13" t="s">
        <v>504</v>
      </c>
      <c r="E1118" s="13" t="str">
        <f>IFERROR(VLOOKUP($D1118,Insumos!$B:$U,D$1,0),"")</f>
        <v>Unidad</v>
      </c>
      <c r="F1118" s="70">
        <v>1.0</v>
      </c>
      <c r="G1118" s="70">
        <f>IFERROR(VLOOKUP($D1118,Insumos!$B:$U,G$1,0)/VLOOKUP($D1118,Insumos!$B:$U,F$1,0),"")</f>
        <v>400</v>
      </c>
      <c r="H1118" s="70">
        <f t="shared" si="450"/>
        <v>400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2.75" customHeight="1">
      <c r="A1119" s="2"/>
      <c r="B1119" s="13">
        <f t="shared" si="463"/>
        <v>122</v>
      </c>
      <c r="C1119" s="13" t="str">
        <f t="shared" si="464"/>
        <v>Dessert shot x6 Frutillas con crema</v>
      </c>
      <c r="D1119" s="13" t="s">
        <v>426</v>
      </c>
      <c r="E1119" s="13" t="str">
        <f>IFERROR(VLOOKUP($D1119,Insumos!$B:$U,D$1,0),"")</f>
        <v>Unidad</v>
      </c>
      <c r="F1119" s="70">
        <v>1.0</v>
      </c>
      <c r="G1119" s="70">
        <f>IFERROR(VLOOKUP($D1119,Insumos!$B:$U,G$1,0)/VLOOKUP($D1119,Insumos!$B:$U,F$1,0),"")</f>
        <v>975</v>
      </c>
      <c r="H1119" s="70">
        <f t="shared" si="450"/>
        <v>975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2.75" customHeight="1">
      <c r="A1120" s="2"/>
      <c r="B1120" s="13">
        <f t="shared" si="463"/>
        <v>122</v>
      </c>
      <c r="C1120" s="13" t="str">
        <f t="shared" si="464"/>
        <v>Dessert shot x6 Frutillas con crema</v>
      </c>
      <c r="D1120" s="13" t="s">
        <v>462</v>
      </c>
      <c r="E1120" s="13" t="str">
        <f>IFERROR(VLOOKUP($D1120,Insumos!$B:$U,D$1,0),"")</f>
        <v>Grs</v>
      </c>
      <c r="F1120" s="70">
        <v>100.0</v>
      </c>
      <c r="G1120" s="70">
        <f>IFERROR(VLOOKUP($D1120,Insumos!$B:$U,G$1,0)/VLOOKUP($D1120,Insumos!$B:$U,F$1,0),"")</f>
        <v>9.2</v>
      </c>
      <c r="H1120" s="70">
        <f t="shared" si="450"/>
        <v>920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2.75" customHeight="1">
      <c r="A1121" s="2"/>
      <c r="B1121" s="116">
        <f t="shared" si="463"/>
        <v>122</v>
      </c>
      <c r="C1121" s="116" t="str">
        <f t="shared" si="464"/>
        <v>Dessert shot x6 Frutillas con crema</v>
      </c>
      <c r="D1121" s="116" t="s">
        <v>479</v>
      </c>
      <c r="E1121" s="116" t="str">
        <f>IFERROR(VLOOKUP($D1121,Insumos!$B:$U,D$1,0),"")</f>
        <v>Unidad</v>
      </c>
      <c r="F1121" s="117">
        <v>100.0</v>
      </c>
      <c r="G1121" s="117">
        <f>IFERROR(VLOOKUP($D1121,Insumos!$B:$U,G$1,0)/VLOOKUP($D1121,Insumos!$B:$U,F$1,0),"")</f>
        <v>4</v>
      </c>
      <c r="H1121" s="117">
        <f t="shared" si="450"/>
        <v>400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2.75" customHeight="1">
      <c r="A1122" s="2"/>
      <c r="B1122" s="13">
        <v>123.0</v>
      </c>
      <c r="C1122" s="13" t="s">
        <v>724</v>
      </c>
      <c r="D1122" s="66" t="s">
        <v>505</v>
      </c>
      <c r="E1122" s="66" t="str">
        <f>IFERROR(VLOOKUP($D1122,Insumos!$B:$U,D$1,0),"")</f>
        <v>Grs</v>
      </c>
      <c r="F1122" s="67">
        <f>110/8</f>
        <v>13.75</v>
      </c>
      <c r="G1122" s="70">
        <f>IFERROR(VLOOKUP($D1122,Insumos!$B:$U,G$1,0)/VLOOKUP($D1122,Insumos!$B:$U,F$1,0),"")</f>
        <v>11</v>
      </c>
      <c r="H1122" s="70">
        <f t="shared" si="450"/>
        <v>151.25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2.75" customHeight="1">
      <c r="A1123" s="2"/>
      <c r="B1123" s="13">
        <f t="shared" ref="B1123:B1130" si="465">IF($D1122="","",B1122)</f>
        <v>123</v>
      </c>
      <c r="C1123" s="13" t="str">
        <f t="shared" ref="C1123:C1130" si="466">IF($D1123="","",C1122)</f>
        <v>Dessert shot x6 Brownie</v>
      </c>
      <c r="D1123" s="13" t="s">
        <v>395</v>
      </c>
      <c r="E1123" s="13" t="str">
        <f>IFERROR(VLOOKUP($D1123,Insumos!$B:$U,D$1,0),"")</f>
        <v>Grs</v>
      </c>
      <c r="F1123" s="70">
        <f>(225+240)/8</f>
        <v>58.125</v>
      </c>
      <c r="G1123" s="70">
        <f>IFERROR(VLOOKUP($D1123,Insumos!$B:$U,G$1,0)/VLOOKUP($D1123,Insumos!$B:$U,F$1,0),"")</f>
        <v>1.4</v>
      </c>
      <c r="H1123" s="70">
        <f t="shared" si="450"/>
        <v>81.375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2.75" customHeight="1">
      <c r="A1124" s="2"/>
      <c r="B1124" s="13">
        <f t="shared" si="465"/>
        <v>123</v>
      </c>
      <c r="C1124" s="13" t="str">
        <f t="shared" si="466"/>
        <v>Dessert shot x6 Brownie</v>
      </c>
      <c r="D1124" s="13" t="s">
        <v>492</v>
      </c>
      <c r="E1124" s="13" t="str">
        <f>IFERROR(VLOOKUP($D1124,Insumos!$B:$U,D$1,0),"")</f>
        <v>Unidad</v>
      </c>
      <c r="F1124" s="70">
        <f>(3+4)/8</f>
        <v>0.875</v>
      </c>
      <c r="G1124" s="70">
        <f>IFERROR(VLOOKUP($D1124,Insumos!$B:$U,G$1,0)/VLOOKUP($D1124,Insumos!$B:$U,F$1,0),"")</f>
        <v>166.6666667</v>
      </c>
      <c r="H1124" s="70">
        <f t="shared" si="450"/>
        <v>145.8333333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2.75" customHeight="1">
      <c r="A1125" s="2"/>
      <c r="B1125" s="13">
        <f t="shared" si="465"/>
        <v>123</v>
      </c>
      <c r="C1125" s="13" t="str">
        <f t="shared" si="466"/>
        <v>Dessert shot x6 Brownie</v>
      </c>
      <c r="D1125" s="13" t="s">
        <v>454</v>
      </c>
      <c r="E1125" s="13" t="str">
        <f>IFERROR(VLOOKUP($D1125,Insumos!$B:$U,D$1,0),"")</f>
        <v>Grs</v>
      </c>
      <c r="F1125" s="70">
        <f>110/8</f>
        <v>13.75</v>
      </c>
      <c r="G1125" s="70">
        <f>IFERROR(VLOOKUP($D1125,Insumos!$B:$U,G$1,0)/VLOOKUP($D1125,Insumos!$B:$U,F$1,0),"")</f>
        <v>10</v>
      </c>
      <c r="H1125" s="70">
        <f t="shared" si="450"/>
        <v>137.5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2.75" customHeight="1">
      <c r="A1126" s="2"/>
      <c r="B1126" s="13">
        <f t="shared" si="465"/>
        <v>123</v>
      </c>
      <c r="C1126" s="13" t="str">
        <f t="shared" si="466"/>
        <v>Dessert shot x6 Brownie</v>
      </c>
      <c r="D1126" s="13" t="s">
        <v>422</v>
      </c>
      <c r="E1126" s="13" t="str">
        <f>IFERROR(VLOOKUP($D1126,Insumos!$B:$U,D$1,0),"")</f>
        <v>Grs</v>
      </c>
      <c r="F1126" s="70">
        <f>10/8</f>
        <v>1.25</v>
      </c>
      <c r="G1126" s="70">
        <f>IFERROR(VLOOKUP($D1126,Insumos!$B:$U,G$1,0)/VLOOKUP($D1126,Insumos!$B:$U,F$1,0),"")</f>
        <v>36.11111111</v>
      </c>
      <c r="H1126" s="70">
        <f t="shared" si="450"/>
        <v>45.13888889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2.75" customHeight="1">
      <c r="A1127" s="2"/>
      <c r="B1127" s="13">
        <f t="shared" si="465"/>
        <v>123</v>
      </c>
      <c r="C1127" s="13" t="str">
        <f t="shared" si="466"/>
        <v>Dessert shot x6 Brownie</v>
      </c>
      <c r="D1127" s="13" t="s">
        <v>489</v>
      </c>
      <c r="E1127" s="13" t="str">
        <f>IFERROR(VLOOKUP($D1127,Insumos!$B:$U,D$1,0),"")</f>
        <v>Grs</v>
      </c>
      <c r="F1127" s="70">
        <f>65/8</f>
        <v>8.125</v>
      </c>
      <c r="G1127" s="70">
        <f>IFERROR(VLOOKUP($D1127,Insumos!$B:$U,G$1,0)/VLOOKUP($D1127,Insumos!$B:$U,F$1,0),"")</f>
        <v>0.82</v>
      </c>
      <c r="H1127" s="70">
        <f t="shared" si="450"/>
        <v>6.6625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2.75" customHeight="1">
      <c r="A1128" s="2"/>
      <c r="B1128" s="13">
        <f t="shared" si="465"/>
        <v>123</v>
      </c>
      <c r="C1128" s="13" t="str">
        <f t="shared" si="466"/>
        <v>Dessert shot x6 Brownie</v>
      </c>
      <c r="D1128" s="13" t="s">
        <v>516</v>
      </c>
      <c r="E1128" s="13" t="str">
        <f>IFERROR(VLOOKUP($D1128,Insumos!$B:$U,D$1,0),"")</f>
        <v>Grs</v>
      </c>
      <c r="F1128" s="70">
        <f>90/8</f>
        <v>11.25</v>
      </c>
      <c r="G1128" s="70">
        <f>IFERROR(VLOOKUP($D1128,Insumos!$B:$U,G$1,0)/VLOOKUP($D1128,Insumos!$B:$U,F$1,0),"")</f>
        <v>19</v>
      </c>
      <c r="H1128" s="70">
        <f t="shared" si="450"/>
        <v>213.75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2.75" customHeight="1">
      <c r="A1129" s="2"/>
      <c r="B1129" s="13">
        <f t="shared" si="465"/>
        <v>123</v>
      </c>
      <c r="C1129" s="13" t="str">
        <f t="shared" si="466"/>
        <v>Dessert shot x6 Brownie</v>
      </c>
      <c r="D1129" s="13" t="s">
        <v>426</v>
      </c>
      <c r="E1129" s="13" t="str">
        <f>IFERROR(VLOOKUP($D1129,Insumos!$B:$U,D$1,0),"")</f>
        <v>Unidad</v>
      </c>
      <c r="F1129" s="70">
        <f>1</f>
        <v>1</v>
      </c>
      <c r="G1129" s="70">
        <f>IFERROR(VLOOKUP($D1129,Insumos!$B:$U,G$1,0)/VLOOKUP($D1129,Insumos!$B:$U,F$1,0),"")</f>
        <v>975</v>
      </c>
      <c r="H1129" s="70">
        <f t="shared" si="450"/>
        <v>975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2.75" customHeight="1">
      <c r="A1130" s="2"/>
      <c r="B1130" s="13">
        <f t="shared" si="465"/>
        <v>123</v>
      </c>
      <c r="C1130" s="13" t="str">
        <f t="shared" si="466"/>
        <v>Dessert shot x6 Brownie</v>
      </c>
      <c r="D1130" s="13" t="s">
        <v>551</v>
      </c>
      <c r="E1130" s="13" t="str">
        <f>IFERROR(VLOOKUP($D1130,Insumos!$B:$U,D$1,0),"")</f>
        <v>Unidad</v>
      </c>
      <c r="F1130" s="70">
        <v>6.0</v>
      </c>
      <c r="G1130" s="70">
        <f>IFERROR(VLOOKUP($D1130,Insumos!$B:$U,G$1,0)/VLOOKUP($D1130,Insumos!$B:$U,F$1,0),"")</f>
        <v>146</v>
      </c>
      <c r="H1130" s="70">
        <f t="shared" si="450"/>
        <v>876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2.75" customHeight="1">
      <c r="A1131" s="2"/>
      <c r="B1131" s="13">
        <f>IF($D1129="","",B1129)</f>
        <v>123</v>
      </c>
      <c r="C1131" s="13" t="str">
        <f>IF($D1131="","",C1129)</f>
        <v>Dessert shot x6 Brownie</v>
      </c>
      <c r="D1131" s="13" t="s">
        <v>504</v>
      </c>
      <c r="E1131" s="13" t="str">
        <f>IFERROR(VLOOKUP($D1131,Insumos!$B:$U,D$1,0),"")</f>
        <v>Unidad</v>
      </c>
      <c r="F1131" s="70">
        <v>1.0</v>
      </c>
      <c r="G1131" s="70">
        <f>IFERROR(VLOOKUP($D1131,Insumos!$B:$U,G$1,0)/VLOOKUP($D1131,Insumos!$B:$U,F$1,0),"")</f>
        <v>400</v>
      </c>
      <c r="H1131" s="70">
        <f t="shared" si="450"/>
        <v>400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2.75" customHeight="1">
      <c r="A1132" s="2"/>
      <c r="B1132" s="116">
        <f>IF($D1131="","",B1131)</f>
        <v>123</v>
      </c>
      <c r="C1132" s="116" t="str">
        <f>IF($D1132="","",C1131)</f>
        <v>Dessert shot x6 Brownie</v>
      </c>
      <c r="D1132" s="116" t="s">
        <v>466</v>
      </c>
      <c r="E1132" s="116" t="str">
        <f>IFERROR(VLOOKUP($D1132,Insumos!$B:$U,D$1,0),"")</f>
        <v>Grs</v>
      </c>
      <c r="F1132" s="117">
        <f>500/8</f>
        <v>62.5</v>
      </c>
      <c r="G1132" s="117">
        <f>IFERROR(VLOOKUP($D1132,Insumos!$B:$U,G$1,0)/VLOOKUP($D1132,Insumos!$B:$U,F$1,0),"")</f>
        <v>3.4</v>
      </c>
      <c r="H1132" s="117">
        <f t="shared" si="450"/>
        <v>212.5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2.75" customHeight="1">
      <c r="A1133" s="2"/>
      <c r="B1133" s="13">
        <v>124.0</v>
      </c>
      <c r="C1133" s="13" t="s">
        <v>363</v>
      </c>
      <c r="D1133" s="13" t="s">
        <v>505</v>
      </c>
      <c r="E1133" s="13" t="str">
        <f>IFERROR(VLOOKUP($D1133,Insumos!$B:$U,D$1,0),"")</f>
        <v>Grs</v>
      </c>
      <c r="F1133" s="70">
        <v>200.0</v>
      </c>
      <c r="G1133" s="70">
        <f>IFERROR(VLOOKUP($D1133,Insumos!$B:$U,G$1,0)/VLOOKUP($D1133,Insumos!$B:$U,F$1,0),"")</f>
        <v>11</v>
      </c>
      <c r="H1133" s="70">
        <f t="shared" si="450"/>
        <v>2200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2.75" customHeight="1">
      <c r="A1134" s="2"/>
      <c r="B1134" s="13">
        <f t="shared" ref="B1134:B1141" si="467">IF($D1133="","",B1133)</f>
        <v>124</v>
      </c>
      <c r="C1134" s="13" t="str">
        <f t="shared" ref="C1134:C1137" si="468">IF($D1134="","",C1133)</f>
        <v>Budín de frutos secos</v>
      </c>
      <c r="D1134" s="13" t="s">
        <v>395</v>
      </c>
      <c r="E1134" s="13" t="str">
        <f>IFERROR(VLOOKUP($D1134,Insumos!$B:$U,D$1,0),"")</f>
        <v>Grs</v>
      </c>
      <c r="F1134" s="70">
        <v>200.0</v>
      </c>
      <c r="G1134" s="70">
        <f>IFERROR(VLOOKUP($D1134,Insumos!$B:$U,G$1,0)/VLOOKUP($D1134,Insumos!$B:$U,F$1,0),"")</f>
        <v>1.4</v>
      </c>
      <c r="H1134" s="70">
        <f t="shared" si="450"/>
        <v>280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2.75" customHeight="1">
      <c r="A1135" s="2"/>
      <c r="B1135" s="13">
        <f t="shared" si="467"/>
        <v>124</v>
      </c>
      <c r="C1135" s="13" t="str">
        <f t="shared" si="468"/>
        <v>Budín de frutos secos</v>
      </c>
      <c r="D1135" s="13" t="s">
        <v>492</v>
      </c>
      <c r="E1135" s="13" t="str">
        <f>IFERROR(VLOOKUP($D1135,Insumos!$B:$U,D$1,0),"")</f>
        <v>Unidad</v>
      </c>
      <c r="F1135" s="70">
        <v>5.0</v>
      </c>
      <c r="G1135" s="70">
        <f>IFERROR(VLOOKUP($D1135,Insumos!$B:$U,G$1,0)/VLOOKUP($D1135,Insumos!$B:$U,F$1,0),"")</f>
        <v>166.6666667</v>
      </c>
      <c r="H1135" s="70">
        <f t="shared" si="450"/>
        <v>833.3333333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2.75" customHeight="1">
      <c r="A1136" s="2"/>
      <c r="B1136" s="13">
        <f t="shared" si="467"/>
        <v>124</v>
      </c>
      <c r="C1136" s="13" t="str">
        <f t="shared" si="468"/>
        <v>Budín de frutos secos</v>
      </c>
      <c r="D1136" s="13" t="s">
        <v>489</v>
      </c>
      <c r="E1136" s="13" t="str">
        <f>IFERROR(VLOOKUP($D1136,Insumos!$B:$U,D$1,0),"")</f>
        <v>Grs</v>
      </c>
      <c r="F1136" s="70">
        <v>270.0</v>
      </c>
      <c r="G1136" s="70">
        <f>IFERROR(VLOOKUP($D1136,Insumos!$B:$U,G$1,0)/VLOOKUP($D1136,Insumos!$B:$U,F$1,0),"")</f>
        <v>0.82</v>
      </c>
      <c r="H1136" s="70">
        <f t="shared" si="450"/>
        <v>221.4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2.75" customHeight="1">
      <c r="A1137" s="2"/>
      <c r="B1137" s="13">
        <f t="shared" si="467"/>
        <v>124</v>
      </c>
      <c r="C1137" s="13" t="str">
        <f t="shared" si="468"/>
        <v>Budín de frutos secos</v>
      </c>
      <c r="D1137" s="13" t="s">
        <v>528</v>
      </c>
      <c r="E1137" s="13" t="str">
        <f>IFERROR(VLOOKUP($D1137,Insumos!$B:$U,D$1,0),"")</f>
        <v>Grs</v>
      </c>
      <c r="F1137" s="70">
        <v>15.0</v>
      </c>
      <c r="G1137" s="70">
        <f>IFERROR(VLOOKUP($D1137,Insumos!$B:$U,G$1,0)/VLOOKUP($D1137,Insumos!$B:$U,F$1,0),"")</f>
        <v>8</v>
      </c>
      <c r="H1137" s="70">
        <f t="shared" si="450"/>
        <v>120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2.75" customHeight="1">
      <c r="A1138" s="2"/>
      <c r="B1138" s="13">
        <f t="shared" si="467"/>
        <v>124</v>
      </c>
      <c r="C1138" s="13" t="str">
        <f t="shared" ref="C1138:C1140" si="469">IF($D1138="","",C1136)</f>
        <v>Budín de frutos secos</v>
      </c>
      <c r="D1138" s="13" t="s">
        <v>514</v>
      </c>
      <c r="E1138" s="13" t="str">
        <f>IFERROR(VLOOKUP($D1138,Insumos!$B:$U,D$1,0),"")</f>
        <v>Grs</v>
      </c>
      <c r="F1138" s="70">
        <v>100.0</v>
      </c>
      <c r="G1138" s="70">
        <f>IFERROR(VLOOKUP($D1138,Insumos!$B:$U,G$1,0)/VLOOKUP($D1138,Insumos!$B:$U,F$1,0),"")</f>
        <v>16</v>
      </c>
      <c r="H1138" s="70">
        <f t="shared" si="450"/>
        <v>1600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2.75" customHeight="1">
      <c r="A1139" s="2"/>
      <c r="B1139" s="13">
        <f t="shared" si="467"/>
        <v>124</v>
      </c>
      <c r="C1139" s="13" t="str">
        <f t="shared" si="469"/>
        <v>Budín de frutos secos</v>
      </c>
      <c r="D1139" s="13" t="s">
        <v>709</v>
      </c>
      <c r="E1139" s="13" t="str">
        <f>IFERROR(VLOOKUP($D1139,Insumos!$B:$U,D$1,0),"")</f>
        <v/>
      </c>
      <c r="F1139" s="70">
        <v>1.0</v>
      </c>
      <c r="G1139" s="93" t="str">
        <f>IFERROR(VLOOKUP($D1139,Insumos!$B:$U,G$1,0)/VLOOKUP($D1139,Insumos!$B:$U,F$1,0),"")</f>
        <v/>
      </c>
      <c r="H1139" s="70">
        <f t="shared" si="450"/>
        <v>0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2.75" customHeight="1">
      <c r="A1140" s="2"/>
      <c r="B1140" s="13">
        <f t="shared" si="467"/>
        <v>124</v>
      </c>
      <c r="C1140" s="13" t="str">
        <f t="shared" si="469"/>
        <v>Budín de frutos secos</v>
      </c>
      <c r="D1140" s="13" t="s">
        <v>426</v>
      </c>
      <c r="E1140" s="13" t="str">
        <f>IFERROR(VLOOKUP($D1140,Insumos!$B:$U,D$1,0),"")</f>
        <v>Unidad</v>
      </c>
      <c r="F1140" s="70">
        <v>1.0</v>
      </c>
      <c r="G1140" s="70">
        <f>IFERROR(VLOOKUP($D1140,Insumos!$B:$U,G$1,0)/VLOOKUP($D1140,Insumos!$B:$U,F$1,0),"")</f>
        <v>975</v>
      </c>
      <c r="H1140" s="70">
        <f t="shared" si="450"/>
        <v>975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2.75" customHeight="1">
      <c r="A1141" s="2"/>
      <c r="B1141" s="116">
        <f t="shared" si="467"/>
        <v>124</v>
      </c>
      <c r="C1141" s="116" t="str">
        <f>IF($D1141="","",C1140)</f>
        <v>Budín de frutos secos</v>
      </c>
      <c r="D1141" s="116" t="s">
        <v>397</v>
      </c>
      <c r="E1141" s="116" t="str">
        <f>IFERROR(VLOOKUP($D1141,Insumos!$B:$U,D$1,0),"")</f>
        <v>Grs</v>
      </c>
      <c r="F1141" s="117">
        <v>250.0</v>
      </c>
      <c r="G1141" s="117">
        <f>IFERROR(VLOOKUP($D1141,Insumos!$B:$U,G$1,0)/VLOOKUP($D1141,Insumos!$B:$U,F$1,0),"")</f>
        <v>1.5</v>
      </c>
      <c r="H1141" s="117">
        <f t="shared" si="450"/>
        <v>375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2.75" customHeight="1">
      <c r="A1142" s="2"/>
      <c r="B1142" s="13">
        <v>125.0</v>
      </c>
      <c r="C1142" s="13" t="s">
        <v>369</v>
      </c>
      <c r="D1142" s="13" t="s">
        <v>455</v>
      </c>
      <c r="E1142" s="13" t="s">
        <v>392</v>
      </c>
      <c r="F1142" s="70">
        <v>500.0</v>
      </c>
      <c r="G1142" s="70">
        <f>IFERROR(VLOOKUP($D1142,Insumos!$B:$U,G$1,0)/VLOOKUP($D1142,Insumos!$B:$U,F$1,0),"")</f>
        <v>7.6</v>
      </c>
      <c r="H1142" s="70">
        <f t="shared" si="450"/>
        <v>3800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2.75" customHeight="1">
      <c r="A1143" s="2"/>
      <c r="B1143" s="13">
        <f t="shared" ref="B1143:B1146" si="470">IF($D1142="","",B1142)</f>
        <v>125</v>
      </c>
      <c r="C1143" s="13" t="str">
        <f t="shared" ref="C1143:C1146" si="471">IF($D1143="","",C1142)</f>
        <v>Chocotorta clásica redonda 22cm</v>
      </c>
      <c r="D1143" s="13" t="s">
        <v>466</v>
      </c>
      <c r="E1143" s="13" t="s">
        <v>392</v>
      </c>
      <c r="F1143" s="70">
        <v>1000.0</v>
      </c>
      <c r="G1143" s="70">
        <f>IFERROR(VLOOKUP($D1143,Insumos!$B:$U,G$1,0)/VLOOKUP($D1143,Insumos!$B:$U,F$1,0),"")</f>
        <v>3.4</v>
      </c>
      <c r="H1143" s="70">
        <f t="shared" si="450"/>
        <v>3400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2.75" customHeight="1">
      <c r="A1144" s="2"/>
      <c r="B1144" s="13">
        <f t="shared" si="470"/>
        <v>125</v>
      </c>
      <c r="C1144" s="13" t="str">
        <f t="shared" si="471"/>
        <v>Chocotorta clásica redonda 22cm</v>
      </c>
      <c r="D1144" s="13" t="s">
        <v>533</v>
      </c>
      <c r="E1144" s="13" t="s">
        <v>392</v>
      </c>
      <c r="F1144" s="70">
        <v>1000.0</v>
      </c>
      <c r="G1144" s="70">
        <f>IFERROR(VLOOKUP($D1144,Insumos!$B:$U,G$1,0)/VLOOKUP($D1144,Insumos!$B:$U,F$1,0),"")</f>
        <v>7.428571429</v>
      </c>
      <c r="H1144" s="70">
        <f t="shared" si="450"/>
        <v>7428.571429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2.75" customHeight="1">
      <c r="A1145" s="2"/>
      <c r="B1145" s="13">
        <f t="shared" si="470"/>
        <v>125</v>
      </c>
      <c r="C1145" s="13" t="str">
        <f t="shared" si="471"/>
        <v>Chocotorta clásica redonda 22cm</v>
      </c>
      <c r="D1145" s="13" t="s">
        <v>426</v>
      </c>
      <c r="E1145" s="13" t="s">
        <v>385</v>
      </c>
      <c r="F1145" s="70">
        <v>1.0</v>
      </c>
      <c r="G1145" s="70">
        <f>IFERROR(VLOOKUP($D1145,Insumos!$B:$U,G$1,0)/VLOOKUP($D1145,Insumos!$B:$U,F$1,0),"")</f>
        <v>975</v>
      </c>
      <c r="H1145" s="70">
        <f t="shared" si="450"/>
        <v>975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2.75" customHeight="1">
      <c r="A1146" s="2"/>
      <c r="B1146" s="116">
        <f t="shared" si="470"/>
        <v>125</v>
      </c>
      <c r="C1146" s="116" t="str">
        <f t="shared" si="471"/>
        <v>Chocotorta clásica redonda 22cm</v>
      </c>
      <c r="D1146" s="116" t="s">
        <v>404</v>
      </c>
      <c r="E1146" s="116" t="s">
        <v>385</v>
      </c>
      <c r="F1146" s="117">
        <v>1.0</v>
      </c>
      <c r="G1146" s="117">
        <f>IFERROR(VLOOKUP($D1146,Insumos!$B:$U,G$1,0)/VLOOKUP($D1146,Insumos!$B:$U,F$1,0),"")</f>
        <v>1300</v>
      </c>
      <c r="H1146" s="117">
        <f t="shared" si="450"/>
        <v>1300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2.75" customHeight="1">
      <c r="A1147" s="2"/>
      <c r="B1147" s="13">
        <v>126.0</v>
      </c>
      <c r="C1147" s="13" t="s">
        <v>725</v>
      </c>
      <c r="D1147" s="13" t="s">
        <v>489</v>
      </c>
      <c r="E1147" s="13" t="str">
        <f>IFERROR(VLOOKUP($D1147,Insumos!$B:$U,D$1,0),"")</f>
        <v>Grs</v>
      </c>
      <c r="F1147" s="70">
        <v>250.0</v>
      </c>
      <c r="G1147" s="70">
        <f>IFERROR(VLOOKUP($D1147,Insumos!$B:$U,G$1,0)/VLOOKUP($D1147,Insumos!$B:$U,F$1,0),"")</f>
        <v>0.82</v>
      </c>
      <c r="H1147" s="70">
        <f t="shared" si="450"/>
        <v>205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2.75" customHeight="1">
      <c r="A1148" s="2"/>
      <c r="B1148" s="13">
        <f t="shared" ref="B1148:B1157" si="472">IF($D1147="","",B1147)</f>
        <v>126</v>
      </c>
      <c r="C1148" s="13" t="str">
        <f t="shared" ref="C1148:C1157" si="473">IF($D1148="","",C1147)</f>
        <v>bizcochuelo 20 cm correcto</v>
      </c>
      <c r="D1148" s="13" t="s">
        <v>492</v>
      </c>
      <c r="E1148" s="13" t="str">
        <f>IFERROR(VLOOKUP($D1148,Insumos!$B:$U,D$1,0),"")</f>
        <v>Unidad</v>
      </c>
      <c r="F1148" s="70">
        <v>5.0</v>
      </c>
      <c r="G1148" s="70">
        <f>IFERROR(VLOOKUP($D1148,Insumos!$B:$U,G$1,0)/VLOOKUP($D1148,Insumos!$B:$U,F$1,0),"")</f>
        <v>166.6666667</v>
      </c>
      <c r="H1148" s="70">
        <f t="shared" si="450"/>
        <v>833.3333333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2.75" customHeight="1">
      <c r="A1149" s="2"/>
      <c r="B1149" s="13">
        <f t="shared" si="472"/>
        <v>126</v>
      </c>
      <c r="C1149" s="13" t="str">
        <f t="shared" si="473"/>
        <v>bizcochuelo 20 cm correcto</v>
      </c>
      <c r="D1149" s="13" t="s">
        <v>573</v>
      </c>
      <c r="E1149" s="13" t="str">
        <f>IFERROR(VLOOKUP($D1149,Insumos!$B:$U,D$1,0),"")</f>
        <v>Grs</v>
      </c>
      <c r="F1149" s="70">
        <v>250.0</v>
      </c>
      <c r="G1149" s="70">
        <f>IFERROR(VLOOKUP($D1149,Insumos!$B:$U,G$1,0)/VLOOKUP($D1149,Insumos!$B:$U,F$1,0),"")</f>
        <v>1.4</v>
      </c>
      <c r="H1149" s="70">
        <f t="shared" si="450"/>
        <v>350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2.75" customHeight="1">
      <c r="A1150" s="2"/>
      <c r="B1150" s="13">
        <f t="shared" si="472"/>
        <v>126</v>
      </c>
      <c r="C1150" s="13" t="str">
        <f t="shared" si="473"/>
        <v>bizcochuelo 20 cm correcto</v>
      </c>
      <c r="D1150" s="13" t="s">
        <v>568</v>
      </c>
      <c r="E1150" s="13" t="str">
        <f>IFERROR(VLOOKUP($D1150,Insumos!$B:$U,D$1,0),"")</f>
        <v>Grs</v>
      </c>
      <c r="F1150" s="70">
        <f>250+750</f>
        <v>1000</v>
      </c>
      <c r="G1150" s="70">
        <f>IFERROR(VLOOKUP($D1150,Insumos!$B:$U,G$1,0)/VLOOKUP($D1150,Insumos!$B:$U,F$1,0),"")</f>
        <v>11</v>
      </c>
      <c r="H1150" s="70">
        <f t="shared" si="450"/>
        <v>11000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2.75" customHeight="1">
      <c r="A1151" s="2"/>
      <c r="B1151" s="13">
        <f t="shared" si="472"/>
        <v>126</v>
      </c>
      <c r="C1151" s="13" t="str">
        <f t="shared" si="473"/>
        <v>bizcochuelo 20 cm correcto</v>
      </c>
      <c r="D1151" s="13" t="s">
        <v>397</v>
      </c>
      <c r="E1151" s="13" t="str">
        <f>IFERROR(VLOOKUP($D1151,Insumos!$B:$U,D$1,0),"")</f>
        <v>Grs</v>
      </c>
      <c r="F1151" s="70">
        <v>750.0</v>
      </c>
      <c r="G1151" s="70">
        <f>IFERROR(VLOOKUP($D1151,Insumos!$B:$U,G$1,0)/VLOOKUP($D1151,Insumos!$B:$U,F$1,0),"")</f>
        <v>1.5</v>
      </c>
      <c r="H1151" s="70">
        <f t="shared" si="450"/>
        <v>1125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2.75" customHeight="1">
      <c r="A1152" s="2"/>
      <c r="B1152" s="13">
        <f t="shared" si="472"/>
        <v>126</v>
      </c>
      <c r="C1152" s="13" t="str">
        <f t="shared" si="473"/>
        <v>bizcochuelo 20 cm correcto</v>
      </c>
      <c r="D1152" s="13" t="s">
        <v>430</v>
      </c>
      <c r="E1152" s="13" t="str">
        <f>IFERROR(VLOOKUP($D1152,Insumos!$B:$U,D$1,0),"")</f>
        <v>Unidad</v>
      </c>
      <c r="F1152" s="70">
        <v>1.0</v>
      </c>
      <c r="G1152" s="70">
        <f>IFERROR(VLOOKUP($D1152,Insumos!$B:$U,G$1,0)/VLOOKUP($D1152,Insumos!$B:$U,F$1,0),"")</f>
        <v>1400</v>
      </c>
      <c r="H1152" s="70">
        <f t="shared" si="450"/>
        <v>1400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2.75" customHeight="1">
      <c r="A1153" s="2"/>
      <c r="B1153" s="13">
        <f t="shared" si="472"/>
        <v>126</v>
      </c>
      <c r="C1153" s="13" t="str">
        <f t="shared" si="473"/>
        <v>bizcochuelo 20 cm correcto</v>
      </c>
      <c r="D1153" s="13" t="s">
        <v>401</v>
      </c>
      <c r="E1153" s="13" t="str">
        <f>IFERROR(VLOOKUP($D1153,Insumos!$B:$U,D$1,0),"")</f>
        <v>Unidad</v>
      </c>
      <c r="F1153" s="70">
        <v>1.0</v>
      </c>
      <c r="G1153" s="70">
        <f>IFERROR(VLOOKUP($D1153,Insumos!$B:$U,G$1,0)/VLOOKUP($D1153,Insumos!$B:$U,F$1,0),"")</f>
        <v>1300</v>
      </c>
      <c r="H1153" s="70">
        <f t="shared" si="450"/>
        <v>1300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2.75" customHeight="1">
      <c r="A1154" s="2"/>
      <c r="B1154" s="13">
        <f t="shared" si="472"/>
        <v>126</v>
      </c>
      <c r="C1154" s="13" t="str">
        <f t="shared" si="473"/>
        <v>bizcochuelo 20 cm correcto</v>
      </c>
      <c r="D1154" s="13" t="s">
        <v>630</v>
      </c>
      <c r="E1154" s="13" t="str">
        <f>IFERROR(VLOOKUP($D1154,Insumos!$B:$U,D$1,0),"")</f>
        <v>Grs</v>
      </c>
      <c r="F1154" s="70">
        <v>500.0</v>
      </c>
      <c r="G1154" s="70">
        <f>IFERROR(VLOOKUP($D1154,Insumos!$B:$U,G$1,0)/VLOOKUP($D1154,Insumos!$B:$U,F$1,0),"")</f>
        <v>3.4</v>
      </c>
      <c r="H1154" s="70">
        <f t="shared" si="450"/>
        <v>1700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2.75" customHeight="1">
      <c r="A1155" s="2"/>
      <c r="B1155" s="13">
        <f t="shared" si="472"/>
        <v>126</v>
      </c>
      <c r="C1155" s="13" t="str">
        <f t="shared" si="473"/>
        <v>bizcochuelo 20 cm correcto</v>
      </c>
      <c r="D1155" s="13" t="s">
        <v>462</v>
      </c>
      <c r="E1155" s="13" t="str">
        <f>IFERROR(VLOOKUP($D1155,Insumos!$B:$U,D$1,0),"")</f>
        <v>Grs</v>
      </c>
      <c r="F1155" s="70">
        <v>100.0</v>
      </c>
      <c r="G1155" s="70">
        <f>IFERROR(VLOOKUP($D1155,Insumos!$B:$U,G$1,0)/VLOOKUP($D1155,Insumos!$B:$U,F$1,0),"")</f>
        <v>9.2</v>
      </c>
      <c r="H1155" s="70">
        <f t="shared" si="450"/>
        <v>920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2.75" customHeight="1">
      <c r="A1156" s="2"/>
      <c r="B1156" s="13">
        <f t="shared" si="472"/>
        <v>126</v>
      </c>
      <c r="C1156" s="13" t="str">
        <f t="shared" si="473"/>
        <v>bizcochuelo 20 cm correcto</v>
      </c>
      <c r="D1156" s="13" t="s">
        <v>584</v>
      </c>
      <c r="E1156" s="13" t="str">
        <f>IFERROR(VLOOKUP($D1156,Insumos!$B:$U,D$1,0),"")</f>
        <v>Grs</v>
      </c>
      <c r="F1156" s="70">
        <v>300.0</v>
      </c>
      <c r="G1156" s="70">
        <f>IFERROR(VLOOKUP($D1156,Insumos!$B:$U,G$1,0)/VLOOKUP($D1156,Insumos!$B:$U,F$1,0),"")</f>
        <v>10</v>
      </c>
      <c r="H1156" s="70">
        <f t="shared" si="450"/>
        <v>3000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2.75" customHeight="1">
      <c r="A1157" s="2"/>
      <c r="B1157" s="116">
        <f t="shared" si="472"/>
        <v>126</v>
      </c>
      <c r="C1157" s="116" t="str">
        <f t="shared" si="473"/>
        <v>bizcochuelo 20 cm correcto</v>
      </c>
      <c r="D1157" s="116" t="s">
        <v>468</v>
      </c>
      <c r="E1157" s="116" t="str">
        <f>IFERROR(VLOOKUP($D1157,Insumos!$B:$U,D$1,0),"")</f>
        <v>Cm3</v>
      </c>
      <c r="F1157" s="117"/>
      <c r="G1157" s="117">
        <f>IFERROR(VLOOKUP($D1157,Insumos!$B:$U,G$1,0)/VLOOKUP($D1157,Insumos!$B:$U,F$1,0),"")</f>
        <v>1.52</v>
      </c>
      <c r="H1157" s="117">
        <f t="shared" si="450"/>
        <v>0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2.75" customHeight="1">
      <c r="A1158" s="2"/>
      <c r="B1158" s="13">
        <v>127.0</v>
      </c>
      <c r="C1158" s="13" t="s">
        <v>726</v>
      </c>
      <c r="D1158" s="13" t="s">
        <v>568</v>
      </c>
      <c r="E1158" s="13" t="str">
        <f>IFERROR(VLOOKUP($D1158,Insumos!$B:$U,D$1,0),"")</f>
        <v>Grs</v>
      </c>
      <c r="F1158" s="70">
        <v>690.0</v>
      </c>
      <c r="G1158" s="70">
        <f>IFERROR(VLOOKUP($D1158,Insumos!$B:$U,G$1,0)/VLOOKUP($D1158,Insumos!$B:$U,F$1,0),"")</f>
        <v>11</v>
      </c>
      <c r="H1158" s="70">
        <f t="shared" si="450"/>
        <v>7590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2.75" customHeight="1">
      <c r="A1159" s="2"/>
      <c r="B1159" s="13">
        <f t="shared" ref="B1159:B1170" si="474">IF($D1158="","",B1158)</f>
        <v>127</v>
      </c>
      <c r="C1159" s="13" t="str">
        <f t="shared" ref="C1159:C1170" si="475">IF($D1159="","",C1158)</f>
        <v>red velvet </v>
      </c>
      <c r="D1159" s="13" t="s">
        <v>395</v>
      </c>
      <c r="E1159" s="13" t="str">
        <f>IFERROR(VLOOKUP($D1159,Insumos!$B:$U,D$1,0),"")</f>
        <v>Grs</v>
      </c>
      <c r="F1159" s="70">
        <v>300.0</v>
      </c>
      <c r="G1159" s="70">
        <f>IFERROR(VLOOKUP($D1159,Insumos!$B:$U,G$1,0)/VLOOKUP($D1159,Insumos!$B:$U,F$1,0),"")</f>
        <v>1.4</v>
      </c>
      <c r="H1159" s="70">
        <f t="shared" si="450"/>
        <v>420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2.75" customHeight="1">
      <c r="A1160" s="2"/>
      <c r="B1160" s="13">
        <f t="shared" si="474"/>
        <v>127</v>
      </c>
      <c r="C1160" s="13" t="str">
        <f t="shared" si="475"/>
        <v>red velvet </v>
      </c>
      <c r="D1160" s="13" t="s">
        <v>492</v>
      </c>
      <c r="E1160" s="13" t="str">
        <f>IFERROR(VLOOKUP($D1160,Insumos!$B:$U,D$1,0),"")</f>
        <v>Unidad</v>
      </c>
      <c r="F1160" s="70">
        <v>2.0</v>
      </c>
      <c r="G1160" s="70">
        <f>IFERROR(VLOOKUP($D1160,Insumos!$B:$U,G$1,0)/VLOOKUP($D1160,Insumos!$B:$U,F$1,0),"")</f>
        <v>166.6666667</v>
      </c>
      <c r="H1160" s="70">
        <f t="shared" si="450"/>
        <v>333.3333333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2.75" customHeight="1">
      <c r="A1161" s="2"/>
      <c r="B1161" s="13">
        <f t="shared" si="474"/>
        <v>127</v>
      </c>
      <c r="C1161" s="13" t="str">
        <f t="shared" si="475"/>
        <v>red velvet </v>
      </c>
      <c r="D1161" s="13" t="s">
        <v>489</v>
      </c>
      <c r="E1161" s="13" t="str">
        <f>IFERROR(VLOOKUP($D1161,Insumos!$B:$U,D$1,0),"")</f>
        <v>Grs</v>
      </c>
      <c r="F1161" s="70">
        <v>300.0</v>
      </c>
      <c r="G1161" s="70">
        <f>IFERROR(VLOOKUP($D1161,Insumos!$B:$U,G$1,0)/VLOOKUP($D1161,Insumos!$B:$U,F$1,0),"")</f>
        <v>0.82</v>
      </c>
      <c r="H1161" s="70">
        <f t="shared" si="450"/>
        <v>246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2.75" customHeight="1">
      <c r="A1162" s="2"/>
      <c r="B1162" s="13">
        <f t="shared" si="474"/>
        <v>127</v>
      </c>
      <c r="C1162" s="13" t="str">
        <f t="shared" si="475"/>
        <v>red velvet </v>
      </c>
      <c r="D1162" s="13" t="s">
        <v>422</v>
      </c>
      <c r="E1162" s="13" t="str">
        <f>IFERROR(VLOOKUP($D1162,Insumos!$B:$U,D$1,0),"")</f>
        <v>Grs</v>
      </c>
      <c r="F1162" s="70">
        <v>20.0</v>
      </c>
      <c r="G1162" s="70">
        <f>IFERROR(VLOOKUP($D1162,Insumos!$B:$U,G$1,0)/VLOOKUP($D1162,Insumos!$B:$U,F$1,0),"")</f>
        <v>36.11111111</v>
      </c>
      <c r="H1162" s="70">
        <f t="shared" si="450"/>
        <v>722.2222222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2.75" customHeight="1">
      <c r="A1163" s="2"/>
      <c r="B1163" s="13">
        <f t="shared" si="474"/>
        <v>127</v>
      </c>
      <c r="C1163" s="13" t="str">
        <f t="shared" si="475"/>
        <v>red velvet </v>
      </c>
      <c r="D1163" s="13" t="s">
        <v>598</v>
      </c>
      <c r="E1163" s="13" t="str">
        <f>IFERROR(VLOOKUP($D1163,Insumos!$B:$U,D$1,0),"")</f>
        <v>Grs</v>
      </c>
      <c r="F1163" s="70">
        <v>5.0</v>
      </c>
      <c r="G1163" s="70">
        <f>IFERROR(VLOOKUP($D1163,Insumos!$B:$U,G$1,0)/VLOOKUP($D1163,Insumos!$B:$U,F$1,0),"")</f>
        <v>120</v>
      </c>
      <c r="H1163" s="70">
        <f t="shared" si="450"/>
        <v>600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2.75" customHeight="1">
      <c r="A1164" s="2"/>
      <c r="B1164" s="13">
        <f t="shared" si="474"/>
        <v>127</v>
      </c>
      <c r="C1164" s="13" t="str">
        <f t="shared" si="475"/>
        <v>red velvet </v>
      </c>
      <c r="D1164" s="13" t="s">
        <v>496</v>
      </c>
      <c r="E1164" s="13" t="str">
        <f>IFERROR(VLOOKUP($D1164,Insumos!$B:$U,D$1,0),"")</f>
        <v>Cm3</v>
      </c>
      <c r="F1164" s="70">
        <v>200.0</v>
      </c>
      <c r="G1164" s="70">
        <f>IFERROR(VLOOKUP($D1164,Insumos!$B:$U,G$1,0)/VLOOKUP($D1164,Insumos!$B:$U,F$1,0),"")</f>
        <v>2.1</v>
      </c>
      <c r="H1164" s="70">
        <f t="shared" si="450"/>
        <v>420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2.75" customHeight="1">
      <c r="A1165" s="2"/>
      <c r="B1165" s="13">
        <f t="shared" si="474"/>
        <v>127</v>
      </c>
      <c r="C1165" s="13" t="str">
        <f t="shared" si="475"/>
        <v>red velvet </v>
      </c>
      <c r="D1165" s="13" t="s">
        <v>462</v>
      </c>
      <c r="E1165" s="13" t="str">
        <f>IFERROR(VLOOKUP($D1165,Insumos!$B:$U,D$1,0),"")</f>
        <v>Grs</v>
      </c>
      <c r="F1165" s="70">
        <v>60.0</v>
      </c>
      <c r="G1165" s="70">
        <f>IFERROR(VLOOKUP($D1165,Insumos!$B:$U,G$1,0)/VLOOKUP($D1165,Insumos!$B:$U,F$1,0),"")</f>
        <v>9.2</v>
      </c>
      <c r="H1165" s="70">
        <f t="shared" si="450"/>
        <v>552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2.75" customHeight="1">
      <c r="A1166" s="2"/>
      <c r="B1166" s="13">
        <f t="shared" si="474"/>
        <v>127</v>
      </c>
      <c r="C1166" s="13" t="str">
        <f t="shared" si="475"/>
        <v>red velvet </v>
      </c>
      <c r="D1166" s="119" t="s">
        <v>537</v>
      </c>
      <c r="E1166" s="13" t="str">
        <f>IFERROR(VLOOKUP($D1166,Insumos!$B:$U,D$1,0),"")</f>
        <v>Grs</v>
      </c>
      <c r="F1166" s="70">
        <v>120.0</v>
      </c>
      <c r="G1166" s="70">
        <f>IFERROR(VLOOKUP($D1166,Insumos!$B:$U,G$1,0)/VLOOKUP($D1166,Insumos!$B:$U,F$1,0),"")</f>
        <v>2.5</v>
      </c>
      <c r="H1166" s="70">
        <f t="shared" si="450"/>
        <v>300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2.75" customHeight="1">
      <c r="A1167" s="2"/>
      <c r="B1167" s="13">
        <f t="shared" si="474"/>
        <v>127</v>
      </c>
      <c r="C1167" s="13" t="str">
        <f t="shared" si="475"/>
        <v>red velvet </v>
      </c>
      <c r="D1167" s="13" t="s">
        <v>533</v>
      </c>
      <c r="E1167" s="13" t="str">
        <f>IFERROR(VLOOKUP($D1167,Insumos!$B:$U,D$1,0),"")</f>
        <v>Grs</v>
      </c>
      <c r="F1167" s="70">
        <v>400.0</v>
      </c>
      <c r="G1167" s="70">
        <f>IFERROR(VLOOKUP($D1167,Insumos!$B:$U,G$1,0)/VLOOKUP($D1167,Insumos!$B:$U,F$1,0),"")</f>
        <v>7.428571429</v>
      </c>
      <c r="H1167" s="70">
        <f t="shared" si="450"/>
        <v>2971.428571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2.75" customHeight="1">
      <c r="A1168" s="2"/>
      <c r="B1168" s="13">
        <f t="shared" si="474"/>
        <v>127</v>
      </c>
      <c r="C1168" s="13" t="str">
        <f t="shared" si="475"/>
        <v>red velvet </v>
      </c>
      <c r="D1168" s="13" t="s">
        <v>397</v>
      </c>
      <c r="E1168" s="13" t="str">
        <f>IFERROR(VLOOKUP($D1168,Insumos!$B:$U,D$1,0),"")</f>
        <v>Grs</v>
      </c>
      <c r="F1168" s="70">
        <v>400.0</v>
      </c>
      <c r="G1168" s="70">
        <f>IFERROR(VLOOKUP($D1168,Insumos!$B:$U,G$1,0)/VLOOKUP($D1168,Insumos!$B:$U,F$1,0),"")</f>
        <v>1.5</v>
      </c>
      <c r="H1168" s="70">
        <f t="shared" si="450"/>
        <v>600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2.75" customHeight="1">
      <c r="A1169" s="2"/>
      <c r="B1169" s="13">
        <f t="shared" si="474"/>
        <v>127</v>
      </c>
      <c r="C1169" s="13" t="str">
        <f t="shared" si="475"/>
        <v>red velvet </v>
      </c>
      <c r="D1169" s="13" t="s">
        <v>404</v>
      </c>
      <c r="E1169" s="13" t="str">
        <f>IFERROR(VLOOKUP($D1169,Insumos!$B:$U,D$1,0),"")</f>
        <v>Unidad</v>
      </c>
      <c r="F1169" s="70">
        <v>1.0</v>
      </c>
      <c r="G1169" s="70">
        <f>IFERROR(VLOOKUP($D1169,Insumos!$B:$U,G$1,0)/VLOOKUP($D1169,Insumos!$B:$U,F$1,0),"")</f>
        <v>1300</v>
      </c>
      <c r="H1169" s="70">
        <f t="shared" si="450"/>
        <v>1300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2.75" customHeight="1">
      <c r="A1170" s="2"/>
      <c r="B1170" s="116">
        <f t="shared" si="474"/>
        <v>127</v>
      </c>
      <c r="C1170" s="116" t="str">
        <f t="shared" si="475"/>
        <v>red velvet </v>
      </c>
      <c r="D1170" s="13" t="s">
        <v>426</v>
      </c>
      <c r="E1170" s="116" t="str">
        <f>IFERROR(VLOOKUP($D1170,Insumos!$B:$U,D$1,0),"")</f>
        <v>Unidad</v>
      </c>
      <c r="F1170" s="117">
        <v>1.0</v>
      </c>
      <c r="G1170" s="117">
        <f>IFERROR(VLOOKUP($D1170,Insumos!$B:$U,G$1,0)/VLOOKUP($D1170,Insumos!$B:$U,F$1,0),"")</f>
        <v>975</v>
      </c>
      <c r="H1170" s="117">
        <f t="shared" si="450"/>
        <v>975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2.75" customHeight="1">
      <c r="A1171" s="2"/>
      <c r="B1171" s="13">
        <v>128.0</v>
      </c>
      <c r="C1171" s="13" t="s">
        <v>727</v>
      </c>
      <c r="D1171" s="13" t="s">
        <v>444</v>
      </c>
      <c r="E1171" s="13" t="str">
        <f>IFERROR(VLOOKUP($D1171,Insumos!$B:$U,D$1,0),"")</f>
        <v>Unidad</v>
      </c>
      <c r="F1171" s="70">
        <v>50.0</v>
      </c>
      <c r="G1171" s="70">
        <f>IFERROR(VLOOKUP($D1171,Insumos!$B:$U,G$1,0)/VLOOKUP($D1171,Insumos!$B:$U,F$1,0),"")</f>
        <v>290</v>
      </c>
      <c r="H1171" s="70">
        <f t="shared" si="450"/>
        <v>14500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2.75" customHeight="1">
      <c r="A1172" s="2"/>
      <c r="B1172" s="13">
        <f t="shared" ref="B1172:B1173" si="476">IF($D1171="","",B1171)</f>
        <v>128</v>
      </c>
      <c r="C1172" s="13" t="str">
        <f t="shared" ref="C1172:C1173" si="477">IF($D1172="","",C1171)</f>
        <v>canape de atun x 50 unidades </v>
      </c>
      <c r="D1172" s="13" t="s">
        <v>394</v>
      </c>
      <c r="E1172" s="13" t="str">
        <f>IFERROR(VLOOKUP($D1172,Insumos!$B:$U,D$1,0),"")</f>
        <v>Unidad</v>
      </c>
      <c r="F1172" s="70">
        <v>4.0</v>
      </c>
      <c r="G1172" s="70">
        <f>IFERROR(VLOOKUP($D1172,Insumos!$B:$U,G$1,0)/VLOOKUP($D1172,Insumos!$B:$U,F$1,0),"")</f>
        <v>2500</v>
      </c>
      <c r="H1172" s="70">
        <f t="shared" si="450"/>
        <v>10000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2.75" customHeight="1">
      <c r="A1173" s="2"/>
      <c r="B1173" s="116">
        <f t="shared" si="476"/>
        <v>128</v>
      </c>
      <c r="C1173" s="116" t="str">
        <f t="shared" si="477"/>
        <v>canape de atun x 50 unidades </v>
      </c>
      <c r="D1173" s="116" t="s">
        <v>509</v>
      </c>
      <c r="E1173" s="116" t="str">
        <f>IFERROR(VLOOKUP($D1173,Insumos!$B:$U,D$1,0),"")</f>
        <v>Grs</v>
      </c>
      <c r="F1173" s="117">
        <v>250.0</v>
      </c>
      <c r="G1173" s="117">
        <f>IFERROR(VLOOKUP($D1173,Insumos!$B:$U,G$1,0)/VLOOKUP($D1173,Insumos!$B:$U,F$1,0),"")</f>
        <v>3.48</v>
      </c>
      <c r="H1173" s="117">
        <f t="shared" si="450"/>
        <v>870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2.75" customHeight="1">
      <c r="A1174" s="2"/>
      <c r="B1174" s="13">
        <v>129.0</v>
      </c>
      <c r="C1174" s="13" t="s">
        <v>728</v>
      </c>
      <c r="D1174" s="13" t="s">
        <v>444</v>
      </c>
      <c r="E1174" s="13" t="str">
        <f>IFERROR(VLOOKUP($D1174,Insumos!$B:$U,D$1,0),"")</f>
        <v>Unidad</v>
      </c>
      <c r="F1174" s="70">
        <v>50.0</v>
      </c>
      <c r="G1174" s="70">
        <f>IFERROR(VLOOKUP($D1174,Insumos!$B:$U,G$1,0)/VLOOKUP($D1174,Insumos!$B:$U,F$1,0),"")</f>
        <v>290</v>
      </c>
      <c r="H1174" s="70">
        <f t="shared" si="450"/>
        <v>14500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2.75" customHeight="1">
      <c r="A1175" s="2"/>
      <c r="B1175" s="13">
        <f t="shared" ref="B1175:B1176" si="478">IF($D1174="","",B1174)</f>
        <v>129</v>
      </c>
      <c r="C1175" s="13" t="str">
        <f t="shared" ref="C1175:C1176" si="479">IF($D1175="","",C1174)</f>
        <v>canape de queso crema y cibulet x 50</v>
      </c>
      <c r="D1175" s="13" t="s">
        <v>533</v>
      </c>
      <c r="E1175" s="13" t="str">
        <f>IFERROR(VLOOKUP($D1175,Insumos!$B:$U,D$1,0),"")</f>
        <v>Grs</v>
      </c>
      <c r="F1175" s="70">
        <v>350.0</v>
      </c>
      <c r="G1175" s="70">
        <f>IFERROR(VLOOKUP($D1175,Insumos!$B:$U,G$1,0)/VLOOKUP($D1175,Insumos!$B:$U,F$1,0),"")</f>
        <v>7.428571429</v>
      </c>
      <c r="H1175" s="70">
        <f t="shared" si="450"/>
        <v>2600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2.75" customHeight="1">
      <c r="A1176" s="2"/>
      <c r="B1176" s="116">
        <f t="shared" si="478"/>
        <v>129</v>
      </c>
      <c r="C1176" s="116" t="str">
        <f t="shared" si="479"/>
        <v>canape de queso crema y cibulet x 50</v>
      </c>
      <c r="D1176" s="116" t="s">
        <v>536</v>
      </c>
      <c r="E1176" s="116" t="str">
        <f>IFERROR(VLOOKUP($D1176,Insumos!$B:$U,D$1,0),"")</f>
        <v>Grs</v>
      </c>
      <c r="F1176" s="117">
        <v>250.0</v>
      </c>
      <c r="G1176" s="117">
        <f>IFERROR(VLOOKUP($D1176,Insumos!$B:$U,G$1,0)/VLOOKUP($D1176,Insumos!$B:$U,F$1,0),"")</f>
        <v>9.2</v>
      </c>
      <c r="H1176" s="117">
        <f t="shared" si="450"/>
        <v>2300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2.75" customHeight="1">
      <c r="A1177" s="2"/>
      <c r="B1177" s="13">
        <v>130.0</v>
      </c>
      <c r="C1177" s="13" t="s">
        <v>729</v>
      </c>
      <c r="D1177" s="13" t="s">
        <v>446</v>
      </c>
      <c r="E1177" s="13" t="str">
        <f>IFERROR(VLOOKUP($D1177,Insumos!$B:$U,D$1,0),"")</f>
        <v>Grs</v>
      </c>
      <c r="F1177" s="70">
        <v>1000.0</v>
      </c>
      <c r="G1177" s="70">
        <f>IFERROR(VLOOKUP($D1177,Insumos!$B:$U,G$1,0)/VLOOKUP($D1177,Insumos!$B:$U,F$1,0),"")</f>
        <v>15</v>
      </c>
      <c r="H1177" s="70">
        <f t="shared" si="450"/>
        <v>15000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2.75" customHeight="1">
      <c r="A1178" s="2"/>
      <c r="B1178" s="13">
        <f t="shared" ref="B1178:B1180" si="480">IF($D1177="","",B1177)</f>
        <v>130</v>
      </c>
      <c r="C1178" s="13" t="str">
        <f t="shared" ref="C1178:C1180" si="481">IF($D1178="","",C1177)</f>
        <v>empanadas copetin x 24</v>
      </c>
      <c r="D1178" s="13" t="s">
        <v>448</v>
      </c>
      <c r="E1178" s="13" t="str">
        <f>IFERROR(VLOOKUP($D1178,Insumos!$B:$U,D$1,0),"")</f>
        <v>Grs</v>
      </c>
      <c r="F1178" s="70">
        <v>1000.0</v>
      </c>
      <c r="G1178" s="70">
        <f>IFERROR(VLOOKUP($D1178,Insumos!$B:$U,G$1,0)/VLOOKUP($D1178,Insumos!$B:$U,F$1,0),"")</f>
        <v>1.75</v>
      </c>
      <c r="H1178" s="70">
        <f t="shared" si="450"/>
        <v>1750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2.75" customHeight="1">
      <c r="A1179" s="2"/>
      <c r="B1179" s="13">
        <f t="shared" si="480"/>
        <v>130</v>
      </c>
      <c r="C1179" s="13" t="str">
        <f t="shared" si="481"/>
        <v>empanadas copetin x 24</v>
      </c>
      <c r="D1179" s="13" t="s">
        <v>569</v>
      </c>
      <c r="E1179" s="13" t="str">
        <f>IFERROR(VLOOKUP($D1179,Insumos!$B:$U,D$1,0),"")</f>
        <v>Unidad</v>
      </c>
      <c r="F1179" s="70">
        <v>3.0</v>
      </c>
      <c r="G1179" s="70">
        <f>IFERROR(VLOOKUP($D1179,Insumos!$B:$U,G$1,0)/VLOOKUP($D1179,Insumos!$B:$U,F$1,0),"")</f>
        <v>166.6666667</v>
      </c>
      <c r="H1179" s="70">
        <f t="shared" si="450"/>
        <v>500</v>
      </c>
      <c r="I1179" s="60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2.75" customHeight="1">
      <c r="A1180" s="2"/>
      <c r="B1180" s="116">
        <f t="shared" si="480"/>
        <v>130</v>
      </c>
      <c r="C1180" s="116" t="str">
        <f t="shared" si="481"/>
        <v>empanadas copetin x 24</v>
      </c>
      <c r="D1180" s="116" t="s">
        <v>546</v>
      </c>
      <c r="E1180" s="116" t="str">
        <f>IFERROR(VLOOKUP($D1180,Insumos!$B:$U,D$1,0),"")</f>
        <v>Unidad</v>
      </c>
      <c r="F1180" s="117">
        <v>24.0</v>
      </c>
      <c r="G1180" s="117">
        <f>IFERROR(VLOOKUP($D1180,Insumos!$B:$U,G$1,0)/VLOOKUP($D1180,Insumos!$B:$U,F$1,0),"")</f>
        <v>45.83333333</v>
      </c>
      <c r="H1180" s="117">
        <f t="shared" si="450"/>
        <v>1100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2.75" customHeight="1">
      <c r="A1181" s="2"/>
      <c r="B1181" s="13">
        <v>131.0</v>
      </c>
      <c r="C1181" s="13" t="s">
        <v>730</v>
      </c>
      <c r="D1181" s="13" t="s">
        <v>475</v>
      </c>
      <c r="E1181" s="13" t="s">
        <v>385</v>
      </c>
      <c r="F1181" s="70">
        <v>50.0</v>
      </c>
      <c r="G1181" s="70">
        <f>IFERROR(VLOOKUP($D1181,Insumos!$B:$U,G$1,0)/VLOOKUP($D1181,Insumos!$B:$U,F$1,0),"")</f>
        <v>83.33333333</v>
      </c>
      <c r="H1181" s="70">
        <f t="shared" si="450"/>
        <v>4166.666667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2.75" customHeight="1">
      <c r="A1182" s="2"/>
      <c r="B1182" s="13">
        <v>131.0</v>
      </c>
      <c r="C1182" s="13" t="s">
        <v>730</v>
      </c>
      <c r="D1182" s="13" t="s">
        <v>418</v>
      </c>
      <c r="E1182" s="13" t="str">
        <f>IFERROR(VLOOKUP($D1182,Insumos!$B:$U,D$1,0),"")</f>
        <v>Grs</v>
      </c>
      <c r="F1182" s="70">
        <v>6000.0</v>
      </c>
      <c r="G1182" s="70">
        <f>IFERROR(VLOOKUP($D1182,Insumos!$B:$U,G$1,0)/VLOOKUP($D1182,Insumos!$B:$U,F$1,0),"")</f>
        <v>6.2</v>
      </c>
      <c r="H1182" s="70">
        <f t="shared" si="450"/>
        <v>37200</v>
      </c>
      <c r="I1182" s="60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2.75" customHeight="1">
      <c r="A1183" s="2"/>
      <c r="B1183" s="116">
        <f>IF($D1182="","",B1182)</f>
        <v>131</v>
      </c>
      <c r="C1183" s="116" t="str">
        <f>IF($D1183="","",C1182)</f>
        <v>figacitas con bondiola </v>
      </c>
      <c r="D1183" s="116" t="s">
        <v>412</v>
      </c>
      <c r="E1183" s="116" t="str">
        <f>IFERROR(VLOOKUP($D1183,Insumos!$B:$U,D$1,0),"")</f>
        <v>Unidad</v>
      </c>
      <c r="F1183" s="117">
        <v>2.0</v>
      </c>
      <c r="G1183" s="117">
        <f>IFERROR(VLOOKUP($D1183,Insumos!$B:$U,G$1,0)/VLOOKUP($D1183,Insumos!$B:$U,F$1,0),"")</f>
        <v>1800</v>
      </c>
      <c r="H1183" s="117">
        <f t="shared" si="450"/>
        <v>3600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2.75" customHeight="1">
      <c r="A1184" s="2"/>
      <c r="B1184" s="13">
        <v>132.0</v>
      </c>
      <c r="C1184" s="13" t="s">
        <v>731</v>
      </c>
      <c r="D1184" s="13" t="s">
        <v>390</v>
      </c>
      <c r="E1184" s="13" t="str">
        <f>IFERROR(VLOOKUP($D1184,Insumos!$B:$U,D$1,0),"")</f>
        <v>Unidad</v>
      </c>
      <c r="F1184" s="70">
        <v>1.0</v>
      </c>
      <c r="G1184" s="70">
        <f>IFERROR(VLOOKUP($D1184,Insumos!$B:$U,G$1,0)/VLOOKUP($D1184,Insumos!$B:$U,F$1,0),"")</f>
        <v>1800</v>
      </c>
      <c r="H1184" s="70">
        <f t="shared" si="450"/>
        <v>1800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2.75" customHeight="1">
      <c r="A1185" s="2"/>
      <c r="B1185" s="13">
        <f t="shared" ref="B1185:B1187" si="482">IF($D1184="","",B1184)</f>
        <v>132</v>
      </c>
      <c r="C1185" s="13" t="str">
        <f t="shared" ref="C1185:C1187" si="483">IF($D1185="","",C1184)</f>
        <v>pinchos capresse</v>
      </c>
      <c r="D1185" s="13" t="s">
        <v>549</v>
      </c>
      <c r="E1185" s="13" t="str">
        <f>IFERROR(VLOOKUP($D1185,Insumos!$B:$U,D$1,0),"")</f>
        <v>Grs</v>
      </c>
      <c r="F1185" s="70">
        <v>700.0</v>
      </c>
      <c r="G1185" s="70">
        <f>IFERROR(VLOOKUP($D1185,Insumos!$B:$U,G$1,0)/VLOOKUP($D1185,Insumos!$B:$U,F$1,0),"")</f>
        <v>6</v>
      </c>
      <c r="H1185" s="70">
        <f t="shared" si="450"/>
        <v>4200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/>
      <c r="B1186" s="13">
        <f t="shared" si="482"/>
        <v>132</v>
      </c>
      <c r="C1186" s="13" t="str">
        <f t="shared" si="483"/>
        <v>pinchos capresse</v>
      </c>
      <c r="D1186" s="13" t="s">
        <v>420</v>
      </c>
      <c r="E1186" s="13" t="str">
        <f>IFERROR(VLOOKUP($D1186,Insumos!$B:$U,D$1,0),"")</f>
        <v>Unidad</v>
      </c>
      <c r="F1186" s="70">
        <v>50.0</v>
      </c>
      <c r="G1186" s="70">
        <f>IFERROR(VLOOKUP($D1186,Insumos!$B:$U,G$1,0)/VLOOKUP($D1186,Insumos!$B:$U,F$1,0),"")</f>
        <v>17.5</v>
      </c>
      <c r="H1186" s="70">
        <f t="shared" si="450"/>
        <v>875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2.75" customHeight="1">
      <c r="A1187" s="2"/>
      <c r="B1187" s="116">
        <f t="shared" si="482"/>
        <v>132</v>
      </c>
      <c r="C1187" s="116" t="str">
        <f t="shared" si="483"/>
        <v>pinchos capresse</v>
      </c>
      <c r="D1187" s="116" t="s">
        <v>535</v>
      </c>
      <c r="E1187" s="116" t="str">
        <f>IFERROR(VLOOKUP($D1187,Insumos!$B:$U,D$1,0),"")</f>
        <v>Grs</v>
      </c>
      <c r="F1187" s="117">
        <v>1000.0</v>
      </c>
      <c r="G1187" s="117">
        <f>IFERROR(VLOOKUP($D1187,Insumos!$B:$U,G$1,0)/VLOOKUP($D1187,Insumos!$B:$U,F$1,0),"")</f>
        <v>18</v>
      </c>
      <c r="H1187" s="117">
        <f t="shared" si="450"/>
        <v>18000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2.75" customHeight="1">
      <c r="A1188" s="2"/>
      <c r="B1188" s="13">
        <v>133.0</v>
      </c>
      <c r="C1188" s="13" t="s">
        <v>732</v>
      </c>
      <c r="D1188" s="13" t="s">
        <v>442</v>
      </c>
      <c r="E1188" s="13" t="str">
        <f>IFERROR(VLOOKUP($D1188,Insumos!$B:$U,D$1,0),"")</f>
        <v>Unidad</v>
      </c>
      <c r="F1188" s="70">
        <v>1.0</v>
      </c>
      <c r="G1188" s="93">
        <f>IFERROR(VLOOKUP($D1188,Insumos!$B:$U,G$1,0)/VLOOKUP($D1188,Insumos!$B:$U,F$1,0),"")</f>
        <v>1300</v>
      </c>
      <c r="H1188" s="70">
        <f t="shared" si="450"/>
        <v>1300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2.75" customHeight="1">
      <c r="A1189" s="2"/>
      <c r="B1189" s="13">
        <f t="shared" ref="B1189:B1218" si="484">IF($D1188="","",B1188)</f>
        <v>133</v>
      </c>
      <c r="C1189" s="13" t="str">
        <f t="shared" ref="C1189:C1218" si="485">IF($D1189="","",C1188)</f>
        <v>desayuno dia de la madre </v>
      </c>
      <c r="D1189" s="13" t="s">
        <v>400</v>
      </c>
      <c r="E1189" s="13" t="str">
        <f>IFERROR(VLOOKUP($D1189,Insumos!$B:$U,D$1,0),"")</f>
        <v>Unidad</v>
      </c>
      <c r="F1189" s="70">
        <v>1.0</v>
      </c>
      <c r="G1189" s="93">
        <f>IFERROR(VLOOKUP($D1189,Insumos!$B:$U,G$1,0)/VLOOKUP($D1189,Insumos!$B:$U,F$1,0),"")</f>
        <v>400</v>
      </c>
      <c r="H1189" s="70">
        <f t="shared" si="450"/>
        <v>400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2.75" customHeight="1">
      <c r="A1190" s="2"/>
      <c r="B1190" s="13">
        <f t="shared" si="484"/>
        <v>133</v>
      </c>
      <c r="C1190" s="13" t="str">
        <f t="shared" si="485"/>
        <v>desayuno dia de la madre </v>
      </c>
      <c r="D1190" s="13" t="s">
        <v>505</v>
      </c>
      <c r="E1190" s="13" t="str">
        <f>IFERROR(VLOOKUP($D1190,Insumos!$B:$U,D$1,0),"")</f>
        <v>Grs</v>
      </c>
      <c r="F1190" s="70">
        <v>27.5</v>
      </c>
      <c r="G1190" s="93">
        <f>IFERROR(VLOOKUP($D1190,Insumos!$B:$U,G$1,0)/VLOOKUP($D1190,Insumos!$B:$U,F$1,0),"")</f>
        <v>11</v>
      </c>
      <c r="H1190" s="70">
        <f t="shared" si="450"/>
        <v>302.5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2.75" customHeight="1">
      <c r="A1191" s="2"/>
      <c r="B1191" s="13">
        <f t="shared" si="484"/>
        <v>133</v>
      </c>
      <c r="C1191" s="13" t="str">
        <f t="shared" si="485"/>
        <v>desayuno dia de la madre </v>
      </c>
      <c r="D1191" s="13" t="s">
        <v>395</v>
      </c>
      <c r="E1191" s="13" t="str">
        <f>IFERROR(VLOOKUP($D1191,Insumos!$B:$U,D$1,0),"")</f>
        <v>Grs</v>
      </c>
      <c r="F1191" s="70">
        <v>56.25</v>
      </c>
      <c r="G1191" s="93">
        <f>IFERROR(VLOOKUP($D1191,Insumos!$B:$U,G$1,0)/VLOOKUP($D1191,Insumos!$B:$U,F$1,0),"")</f>
        <v>1.4</v>
      </c>
      <c r="H1191" s="70">
        <f t="shared" si="450"/>
        <v>78.75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2.75" customHeight="1">
      <c r="A1192" s="2"/>
      <c r="B1192" s="13">
        <f t="shared" si="484"/>
        <v>133</v>
      </c>
      <c r="C1192" s="13" t="str">
        <f t="shared" si="485"/>
        <v>desayuno dia de la madre </v>
      </c>
      <c r="D1192" s="13" t="s">
        <v>492</v>
      </c>
      <c r="E1192" s="13" t="str">
        <f>IFERROR(VLOOKUP($D1192,Insumos!$B:$U,D$1,0),"")</f>
        <v>Unidad</v>
      </c>
      <c r="F1192" s="70">
        <v>3.0</v>
      </c>
      <c r="G1192" s="93">
        <f>IFERROR(VLOOKUP($D1192,Insumos!$B:$U,G$1,0)/VLOOKUP($D1192,Insumos!$B:$U,F$1,0),"")</f>
        <v>166.6666667</v>
      </c>
      <c r="H1192" s="70">
        <f t="shared" si="450"/>
        <v>500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2.75" customHeight="1">
      <c r="A1193" s="2"/>
      <c r="B1193" s="13">
        <f t="shared" si="484"/>
        <v>133</v>
      </c>
      <c r="C1193" s="13" t="str">
        <f t="shared" si="485"/>
        <v>desayuno dia de la madre </v>
      </c>
      <c r="D1193" s="13" t="s">
        <v>454</v>
      </c>
      <c r="E1193" s="13" t="str">
        <f>IFERROR(VLOOKUP($D1193,Insumos!$B:$U,D$1,0),"")</f>
        <v>Grs</v>
      </c>
      <c r="F1193" s="70">
        <v>27.5</v>
      </c>
      <c r="G1193" s="93">
        <f>IFERROR(VLOOKUP($D1193,Insumos!$B:$U,G$1,0)/VLOOKUP($D1193,Insumos!$B:$U,F$1,0),"")</f>
        <v>10</v>
      </c>
      <c r="H1193" s="70">
        <f t="shared" si="450"/>
        <v>275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2.75" customHeight="1">
      <c r="A1194" s="2"/>
      <c r="B1194" s="13">
        <f t="shared" si="484"/>
        <v>133</v>
      </c>
      <c r="C1194" s="13" t="str">
        <f t="shared" si="485"/>
        <v>desayuno dia de la madre </v>
      </c>
      <c r="D1194" s="13" t="s">
        <v>422</v>
      </c>
      <c r="E1194" s="13" t="str">
        <f>IFERROR(VLOOKUP($D1194,Insumos!$B:$U,D$1,0),"")</f>
        <v>Grs</v>
      </c>
      <c r="F1194" s="70">
        <v>2.0</v>
      </c>
      <c r="G1194" s="93">
        <f>IFERROR(VLOOKUP($D1194,Insumos!$B:$U,G$1,0)/VLOOKUP($D1194,Insumos!$B:$U,F$1,0),"")</f>
        <v>36.11111111</v>
      </c>
      <c r="H1194" s="70">
        <f t="shared" si="450"/>
        <v>72.22222222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2.75" customHeight="1">
      <c r="A1195" s="2"/>
      <c r="B1195" s="13">
        <f t="shared" si="484"/>
        <v>133</v>
      </c>
      <c r="C1195" s="13" t="str">
        <f t="shared" si="485"/>
        <v>desayuno dia de la madre </v>
      </c>
      <c r="D1195" s="13" t="s">
        <v>489</v>
      </c>
      <c r="E1195" s="13" t="str">
        <f>IFERROR(VLOOKUP($D1195,Insumos!$B:$U,D$1,0),"")</f>
        <v>Grs</v>
      </c>
      <c r="F1195" s="70">
        <v>16.25</v>
      </c>
      <c r="G1195" s="93">
        <f>IFERROR(VLOOKUP($D1195,Insumos!$B:$U,G$1,0)/VLOOKUP($D1195,Insumos!$B:$U,F$1,0),"")</f>
        <v>0.82</v>
      </c>
      <c r="H1195" s="70">
        <f t="shared" si="450"/>
        <v>13.325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2.75" customHeight="1">
      <c r="A1196" s="2"/>
      <c r="B1196" s="13">
        <f t="shared" si="484"/>
        <v>133</v>
      </c>
      <c r="C1196" s="13" t="str">
        <f t="shared" si="485"/>
        <v>desayuno dia de la madre </v>
      </c>
      <c r="D1196" s="13" t="s">
        <v>516</v>
      </c>
      <c r="E1196" s="13" t="str">
        <f>IFERROR(VLOOKUP($D1196,Insumos!$B:$U,D$1,0),"")</f>
        <v>Grs</v>
      </c>
      <c r="F1196" s="70">
        <v>22.5</v>
      </c>
      <c r="G1196" s="93">
        <f>IFERROR(VLOOKUP($D1196,Insumos!$B:$U,G$1,0)/VLOOKUP($D1196,Insumos!$B:$U,F$1,0),"")</f>
        <v>19</v>
      </c>
      <c r="H1196" s="70">
        <f t="shared" si="450"/>
        <v>427.5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2.75" customHeight="1">
      <c r="A1197" s="2"/>
      <c r="B1197" s="13">
        <f t="shared" si="484"/>
        <v>133</v>
      </c>
      <c r="C1197" s="13" t="str">
        <f t="shared" si="485"/>
        <v>desayuno dia de la madre </v>
      </c>
      <c r="D1197" s="13" t="s">
        <v>395</v>
      </c>
      <c r="E1197" s="66" t="str">
        <f>IFERROR(VLOOKUP($D1197,Insumos!$B:$U,D$1,0),"")</f>
        <v>Grs</v>
      </c>
      <c r="F1197" s="67">
        <f>130/30*12</f>
        <v>52</v>
      </c>
      <c r="G1197" s="67">
        <f>IFERROR(VLOOKUP($D1197,Insumos!$B:$U,G$1,0)/VLOOKUP($D1197,Insumos!$B:$U,F$1,0),"")</f>
        <v>1.4</v>
      </c>
      <c r="H1197" s="67">
        <f t="shared" si="450"/>
        <v>72.8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2.75" customHeight="1">
      <c r="A1198" s="2"/>
      <c r="B1198" s="13">
        <f t="shared" si="484"/>
        <v>133</v>
      </c>
      <c r="C1198" s="13" t="str">
        <f t="shared" si="485"/>
        <v>desayuno dia de la madre </v>
      </c>
      <c r="D1198" s="13" t="s">
        <v>490</v>
      </c>
      <c r="E1198" s="13" t="str">
        <f>IFERROR(VLOOKUP($D1198,Insumos!$B:$U,D$1,0),"")</f>
        <v>Grs</v>
      </c>
      <c r="F1198" s="70">
        <f>65/30*12</f>
        <v>26</v>
      </c>
      <c r="G1198" s="70">
        <f>IFERROR(VLOOKUP($D1198,Insumos!$B:$U,G$1,0)/VLOOKUP($D1198,Insumos!$B:$U,F$1,0),"")</f>
        <v>32</v>
      </c>
      <c r="H1198" s="70">
        <f t="shared" si="450"/>
        <v>832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2.75" customHeight="1">
      <c r="A1199" s="2"/>
      <c r="B1199" s="13">
        <f t="shared" si="484"/>
        <v>133</v>
      </c>
      <c r="C1199" s="13" t="str">
        <f t="shared" si="485"/>
        <v>desayuno dia de la madre </v>
      </c>
      <c r="D1199" s="13" t="s">
        <v>492</v>
      </c>
      <c r="E1199" s="13" t="str">
        <f>IFERROR(VLOOKUP($D1199,Insumos!$B:$U,D$1,0),"")</f>
        <v>Unidad</v>
      </c>
      <c r="F1199" s="70">
        <f>2/30*12</f>
        <v>0.8</v>
      </c>
      <c r="G1199" s="70">
        <f>IFERROR(VLOOKUP($D1199,Insumos!$B:$U,G$1,0)/VLOOKUP($D1199,Insumos!$B:$U,F$1,0),"")</f>
        <v>166.6666667</v>
      </c>
      <c r="H1199" s="70">
        <f t="shared" si="450"/>
        <v>133.3333333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2.75" customHeight="1">
      <c r="A1200" s="2"/>
      <c r="B1200" s="13">
        <f t="shared" si="484"/>
        <v>133</v>
      </c>
      <c r="C1200" s="13" t="str">
        <f t="shared" si="485"/>
        <v>desayuno dia de la madre </v>
      </c>
      <c r="D1200" s="13" t="s">
        <v>397</v>
      </c>
      <c r="E1200" s="13" t="str">
        <f>IFERROR(VLOOKUP($D1200,Insumos!$B:$U,D$1,0),"")</f>
        <v>Grs</v>
      </c>
      <c r="F1200" s="70">
        <f>65/30*12</f>
        <v>26</v>
      </c>
      <c r="G1200" s="70">
        <f>IFERROR(VLOOKUP($D1200,Insumos!$B:$U,G$1,0)/VLOOKUP($D1200,Insumos!$B:$U,F$1,0),"")</f>
        <v>1.5</v>
      </c>
      <c r="H1200" s="70">
        <f t="shared" si="450"/>
        <v>39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2.75" customHeight="1">
      <c r="A1201" s="2"/>
      <c r="B1201" s="13">
        <f t="shared" si="484"/>
        <v>133</v>
      </c>
      <c r="C1201" s="13" t="str">
        <f t="shared" si="485"/>
        <v>desayuno dia de la madre </v>
      </c>
      <c r="D1201" s="13" t="s">
        <v>458</v>
      </c>
      <c r="E1201" s="13" t="str">
        <f>IFERROR(VLOOKUP($D1201,Insumos!$B:$U,D$1,0),"")</f>
        <v>Grs</v>
      </c>
      <c r="F1201" s="70">
        <f>3/30*12</f>
        <v>1.2</v>
      </c>
      <c r="G1201" s="70">
        <f>IFERROR(VLOOKUP($D1201,Insumos!$B:$U,G$1,0)/VLOOKUP($D1201,Insumos!$B:$U,F$1,0),"")</f>
        <v>120</v>
      </c>
      <c r="H1201" s="70">
        <f t="shared" si="450"/>
        <v>144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2.75" customHeight="1">
      <c r="A1202" s="2"/>
      <c r="B1202" s="13">
        <f t="shared" si="484"/>
        <v>133</v>
      </c>
      <c r="C1202" s="13" t="str">
        <f t="shared" si="485"/>
        <v>desayuno dia de la madre </v>
      </c>
      <c r="D1202" s="13" t="s">
        <v>541</v>
      </c>
      <c r="E1202" s="13" t="str">
        <f>IFERROR(VLOOKUP($D1202,Insumos!$B:$U,D$1,0),"")</f>
        <v>Grs</v>
      </c>
      <c r="F1202" s="70">
        <f>10/30*12</f>
        <v>4</v>
      </c>
      <c r="G1202" s="70">
        <f>IFERROR(VLOOKUP($D1202,Insumos!$B:$U,G$1,0)/VLOOKUP($D1202,Insumos!$B:$U,F$1,0),"")</f>
        <v>48</v>
      </c>
      <c r="H1202" s="70">
        <f t="shared" si="450"/>
        <v>192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2.75" customHeight="1">
      <c r="A1203" s="2"/>
      <c r="B1203" s="13">
        <f t="shared" si="484"/>
        <v>133</v>
      </c>
      <c r="C1203" s="13" t="str">
        <f t="shared" si="485"/>
        <v>desayuno dia de la madre </v>
      </c>
      <c r="D1203" s="13" t="s">
        <v>462</v>
      </c>
      <c r="E1203" s="13" t="str">
        <f>IFERROR(VLOOKUP($D1203,Insumos!$B:$U,D$1,0),"")</f>
        <v>Grs</v>
      </c>
      <c r="F1203" s="70">
        <f>100/30*12</f>
        <v>40</v>
      </c>
      <c r="G1203" s="70">
        <f>IFERROR(VLOOKUP($D1203,Insumos!$B:$U,G$1,0)/VLOOKUP($D1203,Insumos!$B:$U,F$1,0),"")</f>
        <v>9.2</v>
      </c>
      <c r="H1203" s="70">
        <f t="shared" si="450"/>
        <v>368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2.75" customHeight="1">
      <c r="A1204" s="2"/>
      <c r="B1204" s="13">
        <f t="shared" si="484"/>
        <v>133</v>
      </c>
      <c r="C1204" s="13" t="str">
        <f t="shared" si="485"/>
        <v>desayuno dia de la madre </v>
      </c>
      <c r="D1204" s="13" t="s">
        <v>454</v>
      </c>
      <c r="E1204" s="13" t="str">
        <f>IFERROR(VLOOKUP($D1204,Insumos!$B:$U,D$1,0),"")</f>
        <v>Grs</v>
      </c>
      <c r="F1204" s="70">
        <f>300/30*12</f>
        <v>120</v>
      </c>
      <c r="G1204" s="70">
        <f>IFERROR(VLOOKUP($D1204,Insumos!$B:$U,G$1,0)/VLOOKUP($D1204,Insumos!$B:$U,F$1,0),"")</f>
        <v>10</v>
      </c>
      <c r="H1204" s="70">
        <f t="shared" si="450"/>
        <v>1200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2.75" customHeight="1">
      <c r="A1205" s="2"/>
      <c r="B1205" s="13">
        <f t="shared" si="484"/>
        <v>133</v>
      </c>
      <c r="C1205" s="13" t="str">
        <f t="shared" si="485"/>
        <v>desayuno dia de la madre </v>
      </c>
      <c r="D1205" s="13" t="s">
        <v>489</v>
      </c>
      <c r="E1205" s="13" t="str">
        <f>IFERROR(VLOOKUP($D1205,Insumos!$B:$U,D$1,0),"")</f>
        <v>Grs</v>
      </c>
      <c r="F1205" s="70">
        <f>180/20*4</f>
        <v>36</v>
      </c>
      <c r="G1205" s="93">
        <f>IFERROR(VLOOKUP($D1205,Insumos!$B:$U,G$1,0)/VLOOKUP($D1205,Insumos!$B:$U,F$1,0),"")</f>
        <v>0.82</v>
      </c>
      <c r="H1205" s="70">
        <f t="shared" si="450"/>
        <v>29.52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2.75" customHeight="1">
      <c r="A1206" s="2"/>
      <c r="B1206" s="13">
        <f t="shared" si="484"/>
        <v>133</v>
      </c>
      <c r="C1206" s="13" t="str">
        <f t="shared" si="485"/>
        <v>desayuno dia de la madre </v>
      </c>
      <c r="D1206" s="13" t="s">
        <v>505</v>
      </c>
      <c r="E1206" s="13" t="str">
        <f>IFERROR(VLOOKUP($D1206,Insumos!$B:$U,D$1,0),"")</f>
        <v>Grs</v>
      </c>
      <c r="F1206" s="70">
        <f>113/20*4</f>
        <v>22.6</v>
      </c>
      <c r="G1206" s="93">
        <f>IFERROR(VLOOKUP($D1206,Insumos!$B:$U,G$1,0)/VLOOKUP($D1206,Insumos!$B:$U,F$1,0),"")</f>
        <v>11</v>
      </c>
      <c r="H1206" s="70">
        <f t="shared" si="450"/>
        <v>248.6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2.75" customHeight="1">
      <c r="A1207" s="2"/>
      <c r="B1207" s="13">
        <f t="shared" si="484"/>
        <v>133</v>
      </c>
      <c r="C1207" s="13" t="str">
        <f t="shared" si="485"/>
        <v>desayuno dia de la madre </v>
      </c>
      <c r="D1207" s="13" t="s">
        <v>395</v>
      </c>
      <c r="E1207" s="13" t="str">
        <f>IFERROR(VLOOKUP($D1207,Insumos!$B:$U,D$1,0),"")</f>
        <v>Grs</v>
      </c>
      <c r="F1207" s="70">
        <f>100/20*4</f>
        <v>20</v>
      </c>
      <c r="G1207" s="93">
        <f>IFERROR(VLOOKUP($D1207,Insumos!$B:$U,G$1,0)/VLOOKUP($D1207,Insumos!$B:$U,F$1,0),"")</f>
        <v>1.4</v>
      </c>
      <c r="H1207" s="70">
        <f t="shared" si="450"/>
        <v>28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2.75" customHeight="1">
      <c r="A1208" s="2"/>
      <c r="B1208" s="13">
        <f t="shared" si="484"/>
        <v>133</v>
      </c>
      <c r="C1208" s="13" t="str">
        <f t="shared" si="485"/>
        <v>desayuno dia de la madre </v>
      </c>
      <c r="D1208" s="13" t="s">
        <v>398</v>
      </c>
      <c r="E1208" s="13" t="str">
        <f>IFERROR(VLOOKUP($D1208,Insumos!$B:$U,D$1,0),"")</f>
        <v>Grs</v>
      </c>
      <c r="F1208" s="70">
        <f>50/20*4</f>
        <v>10</v>
      </c>
      <c r="G1208" s="93">
        <f>IFERROR(VLOOKUP($D1208,Insumos!$B:$U,G$1,0)/VLOOKUP($D1208,Insumos!$B:$U,F$1,0),"")</f>
        <v>0.85</v>
      </c>
      <c r="H1208" s="70">
        <f t="shared" si="450"/>
        <v>8.5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2.75" customHeight="1">
      <c r="A1209" s="2"/>
      <c r="B1209" s="13">
        <f t="shared" si="484"/>
        <v>133</v>
      </c>
      <c r="C1209" s="13" t="str">
        <f t="shared" si="485"/>
        <v>desayuno dia de la madre </v>
      </c>
      <c r="D1209" s="13" t="s">
        <v>569</v>
      </c>
      <c r="E1209" s="13" t="str">
        <f>IFERROR(VLOOKUP($D1209,Insumos!$B:$U,D$1,0),"")</f>
        <v>Unidad</v>
      </c>
      <c r="F1209" s="70">
        <v>1.0</v>
      </c>
      <c r="G1209" s="93">
        <f>IFERROR(VLOOKUP($D1209,Insumos!$B:$U,G$1,0)/VLOOKUP($D1209,Insumos!$B:$U,F$1,0),"")</f>
        <v>166.6666667</v>
      </c>
      <c r="H1209" s="70">
        <f t="shared" si="450"/>
        <v>166.6666667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2.75" customHeight="1">
      <c r="A1210" s="2"/>
      <c r="B1210" s="13">
        <f t="shared" si="484"/>
        <v>133</v>
      </c>
      <c r="C1210" s="13" t="str">
        <f t="shared" si="485"/>
        <v>desayuno dia de la madre </v>
      </c>
      <c r="D1210" s="13" t="s">
        <v>630</v>
      </c>
      <c r="E1210" s="13" t="str">
        <f>IFERROR(VLOOKUP($D1210,Insumos!$B:$U,D$1,0),"")</f>
        <v>Grs</v>
      </c>
      <c r="F1210" s="70">
        <f>150/20*4</f>
        <v>30</v>
      </c>
      <c r="G1210" s="93">
        <f>IFERROR(VLOOKUP($D1210,Insumos!$B:$U,G$1,0)/VLOOKUP($D1210,Insumos!$B:$U,F$1,0),"")</f>
        <v>3.4</v>
      </c>
      <c r="H1210" s="70">
        <f t="shared" si="450"/>
        <v>102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2.75" customHeight="1">
      <c r="A1211" s="2"/>
      <c r="B1211" s="13">
        <f t="shared" si="484"/>
        <v>133</v>
      </c>
      <c r="C1211" s="13" t="str">
        <f t="shared" si="485"/>
        <v>desayuno dia de la madre </v>
      </c>
      <c r="D1211" s="13" t="s">
        <v>516</v>
      </c>
      <c r="E1211" s="13" t="str">
        <f>IFERROR(VLOOKUP($D1211,Insumos!$B:$U,D$1,0),"")</f>
        <v>Grs</v>
      </c>
      <c r="F1211" s="70">
        <f>80/20*4</f>
        <v>16</v>
      </c>
      <c r="G1211" s="93">
        <f>IFERROR(VLOOKUP($D1211,Insumos!$B:$U,G$1,0)/VLOOKUP($D1211,Insumos!$B:$U,F$1,0),"")</f>
        <v>19</v>
      </c>
      <c r="H1211" s="70">
        <f t="shared" si="450"/>
        <v>304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2.75" customHeight="1">
      <c r="A1212" s="2"/>
      <c r="B1212" s="13">
        <f t="shared" si="484"/>
        <v>133</v>
      </c>
      <c r="C1212" s="13" t="str">
        <f t="shared" si="485"/>
        <v>desayuno dia de la madre </v>
      </c>
      <c r="D1212" s="13" t="s">
        <v>492</v>
      </c>
      <c r="E1212" s="13" t="str">
        <f>IFERROR(VLOOKUP($D1212,Insumos!$B:$U,D$1,0),"")</f>
        <v>Unidad</v>
      </c>
      <c r="F1212" s="70">
        <v>1.0</v>
      </c>
      <c r="G1212" s="93">
        <f>IFERROR(VLOOKUP($D1212,Insumos!$B:$U,G$1,0)/VLOOKUP($D1212,Insumos!$B:$U,F$1,0),"")</f>
        <v>166.6666667</v>
      </c>
      <c r="H1212" s="70">
        <f t="shared" si="450"/>
        <v>166.6666667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2.75" customHeight="1">
      <c r="A1213" s="2"/>
      <c r="B1213" s="13">
        <f t="shared" si="484"/>
        <v>133</v>
      </c>
      <c r="C1213" s="13" t="str">
        <f t="shared" si="485"/>
        <v>desayuno dia de la madre </v>
      </c>
      <c r="D1213" s="13" t="s">
        <v>395</v>
      </c>
      <c r="E1213" s="13" t="str">
        <f>IFERROR(VLOOKUP($D1213,Insumos!$B:$U,D$1,0),"")</f>
        <v>Grs</v>
      </c>
      <c r="F1213" s="70">
        <f>75/12*4</f>
        <v>25</v>
      </c>
      <c r="G1213" s="93">
        <f>IFERROR(VLOOKUP($D1213,Insumos!$B:$U,G$1,0)/VLOOKUP($D1213,Insumos!$B:$U,F$1,0),"")</f>
        <v>1.4</v>
      </c>
      <c r="H1213" s="70">
        <f t="shared" si="450"/>
        <v>35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2.75" customHeight="1">
      <c r="A1214" s="2"/>
      <c r="B1214" s="13">
        <f t="shared" si="484"/>
        <v>133</v>
      </c>
      <c r="C1214" s="13" t="str">
        <f t="shared" si="485"/>
        <v>desayuno dia de la madre </v>
      </c>
      <c r="D1214" s="13" t="s">
        <v>505</v>
      </c>
      <c r="E1214" s="13" t="str">
        <f>IFERROR(VLOOKUP($D1214,Insumos!$B:$U,D$1,0),"")</f>
        <v>Grs</v>
      </c>
      <c r="F1214" s="70">
        <v>25.0</v>
      </c>
      <c r="G1214" s="93">
        <f>IFERROR(VLOOKUP($D1214,Insumos!$B:$U,G$1,0)/VLOOKUP($D1214,Insumos!$B:$U,F$1,0),"")</f>
        <v>11</v>
      </c>
      <c r="H1214" s="70">
        <f t="shared" si="450"/>
        <v>275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2.75" customHeight="1">
      <c r="A1215" s="2"/>
      <c r="B1215" s="13">
        <f t="shared" si="484"/>
        <v>133</v>
      </c>
      <c r="C1215" s="13" t="str">
        <f t="shared" si="485"/>
        <v>desayuno dia de la madre </v>
      </c>
      <c r="D1215" s="13" t="s">
        <v>489</v>
      </c>
      <c r="E1215" s="13" t="str">
        <f>IFERROR(VLOOKUP($D1215,Insumos!$B:$U,D$1,0),"")</f>
        <v>Grs</v>
      </c>
      <c r="F1215" s="70">
        <v>25.0</v>
      </c>
      <c r="G1215" s="93">
        <f>IFERROR(VLOOKUP($D1215,Insumos!$B:$U,G$1,0)/VLOOKUP($D1215,Insumos!$B:$U,F$1,0),"")</f>
        <v>0.82</v>
      </c>
      <c r="H1215" s="70">
        <f t="shared" si="450"/>
        <v>20.5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2.75" customHeight="1">
      <c r="A1216" s="2"/>
      <c r="B1216" s="13">
        <f t="shared" si="484"/>
        <v>133</v>
      </c>
      <c r="C1216" s="13" t="str">
        <f t="shared" si="485"/>
        <v>desayuno dia de la madre </v>
      </c>
      <c r="D1216" s="13" t="s">
        <v>528</v>
      </c>
      <c r="E1216" s="13" t="str">
        <f>IFERROR(VLOOKUP($D1216,Insumos!$B:$U,D$1,0),"")</f>
        <v>Grs</v>
      </c>
      <c r="F1216" s="70">
        <v>2.0</v>
      </c>
      <c r="G1216" s="93">
        <f>IFERROR(VLOOKUP($D1216,Insumos!$B:$U,G$1,0)/VLOOKUP($D1216,Insumos!$B:$U,F$1,0),"")</f>
        <v>8</v>
      </c>
      <c r="H1216" s="70">
        <f t="shared" si="450"/>
        <v>16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2.75" customHeight="1">
      <c r="A1217" s="2"/>
      <c r="B1217" s="13">
        <f t="shared" si="484"/>
        <v>133</v>
      </c>
      <c r="C1217" s="13" t="str">
        <f t="shared" si="485"/>
        <v>desayuno dia de la madre </v>
      </c>
      <c r="D1217" s="13" t="s">
        <v>516</v>
      </c>
      <c r="E1217" s="13" t="str">
        <f>IFERROR(VLOOKUP($D1217,Insumos!$B:$U,D$1,0),"")</f>
        <v>Grs</v>
      </c>
      <c r="F1217" s="70">
        <v>25.0</v>
      </c>
      <c r="G1217" s="93">
        <f>IFERROR(VLOOKUP($D1217,Insumos!$B:$U,G$1,0)/VLOOKUP($D1217,Insumos!$B:$U,F$1,0),"")</f>
        <v>19</v>
      </c>
      <c r="H1217" s="70">
        <f t="shared" si="450"/>
        <v>475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2.75" customHeight="1">
      <c r="A1218" s="2"/>
      <c r="B1218" s="116">
        <f t="shared" si="484"/>
        <v>133</v>
      </c>
      <c r="C1218" s="116" t="str">
        <f t="shared" si="485"/>
        <v>desayuno dia de la madre </v>
      </c>
      <c r="D1218" s="116" t="s">
        <v>466</v>
      </c>
      <c r="E1218" s="116" t="str">
        <f>IFERROR(VLOOKUP($D1218,Insumos!$B:$U,D$1,0),"")</f>
        <v>Grs</v>
      </c>
      <c r="F1218" s="117">
        <f>200/12*4</f>
        <v>66.66666667</v>
      </c>
      <c r="G1218" s="117">
        <f>IFERROR(VLOOKUP($D1218,Insumos!$B:$U,G$1,0)/VLOOKUP($D1218,Insumos!$B:$U,F$1,0),"")</f>
        <v>3.4</v>
      </c>
      <c r="H1218" s="117">
        <f t="shared" si="450"/>
        <v>226.6666667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2.75" customHeight="1">
      <c r="A1219" s="2"/>
      <c r="B1219" s="13">
        <v>134.0</v>
      </c>
      <c r="C1219" s="13" t="s">
        <v>733</v>
      </c>
      <c r="D1219" s="13" t="s">
        <v>489</v>
      </c>
      <c r="E1219" s="13" t="str">
        <f>IFERROR(VLOOKUP($D1219,Insumos!$B:$U,D$1,0),"")</f>
        <v>Grs</v>
      </c>
      <c r="F1219" s="70">
        <v>350.0</v>
      </c>
      <c r="G1219" s="93">
        <f>IFERROR(VLOOKUP($D1219,Insumos!$B:$U,G$1,0)/VLOOKUP($D1219,Insumos!$B:$U,F$1,0),"")</f>
        <v>0.82</v>
      </c>
      <c r="H1219" s="70">
        <f t="shared" si="450"/>
        <v>287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2.75" customHeight="1">
      <c r="A1220" s="2"/>
      <c r="B1220" s="13">
        <f t="shared" ref="B1220:B1227" si="486">IF($D1219="","",B1219)</f>
        <v>134</v>
      </c>
      <c r="C1220" s="13" t="str">
        <f t="shared" ref="C1220:C1227" si="487">IF($D1220="","",C1219)</f>
        <v>Torta Matilda 20 x 10</v>
      </c>
      <c r="D1220" s="13" t="s">
        <v>395</v>
      </c>
      <c r="E1220" s="13" t="str">
        <f>IFERROR(VLOOKUP($D1220,Insumos!$B:$U,D$1,0),"")</f>
        <v>Grs</v>
      </c>
      <c r="F1220" s="70">
        <v>350.0</v>
      </c>
      <c r="G1220" s="93">
        <f>IFERROR(VLOOKUP($D1220,Insumos!$B:$U,G$1,0)/VLOOKUP($D1220,Insumos!$B:$U,F$1,0),"")</f>
        <v>1.4</v>
      </c>
      <c r="H1220" s="70">
        <f t="shared" si="450"/>
        <v>490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2.75" customHeight="1">
      <c r="A1221" s="2"/>
      <c r="B1221" s="13">
        <f t="shared" si="486"/>
        <v>134</v>
      </c>
      <c r="C1221" s="13" t="str">
        <f t="shared" si="487"/>
        <v>Torta Matilda 20 x 10</v>
      </c>
      <c r="D1221" s="13" t="s">
        <v>492</v>
      </c>
      <c r="E1221" s="13" t="str">
        <f>IFERROR(VLOOKUP($D1221,Insumos!$B:$U,D$1,0),"")</f>
        <v>Unidad</v>
      </c>
      <c r="F1221" s="70">
        <v>7.0</v>
      </c>
      <c r="G1221" s="93">
        <f>IFERROR(VLOOKUP($D1221,Insumos!$B:$U,G$1,0)/VLOOKUP($D1221,Insumos!$B:$U,F$1,0),"")</f>
        <v>166.6666667</v>
      </c>
      <c r="H1221" s="70">
        <f t="shared" si="450"/>
        <v>1166.666667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2.75" customHeight="1">
      <c r="A1222" s="2"/>
      <c r="B1222" s="13">
        <f t="shared" si="486"/>
        <v>134</v>
      </c>
      <c r="C1222" s="13" t="str">
        <f t="shared" si="487"/>
        <v>Torta Matilda 20 x 10</v>
      </c>
      <c r="D1222" s="13" t="s">
        <v>505</v>
      </c>
      <c r="E1222" s="13" t="str">
        <f>IFERROR(VLOOKUP($D1222,Insumos!$B:$U,D$1,0),"")</f>
        <v>Grs</v>
      </c>
      <c r="F1222" s="70">
        <v>350.0</v>
      </c>
      <c r="G1222" s="93">
        <f>IFERROR(VLOOKUP($D1222,Insumos!$B:$U,G$1,0)/VLOOKUP($D1222,Insumos!$B:$U,F$1,0),"")</f>
        <v>11</v>
      </c>
      <c r="H1222" s="70">
        <f t="shared" si="450"/>
        <v>3850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2.75" customHeight="1">
      <c r="A1223" s="2"/>
      <c r="B1223" s="13">
        <f t="shared" si="486"/>
        <v>134</v>
      </c>
      <c r="C1223" s="13" t="str">
        <f t="shared" si="487"/>
        <v>Torta Matilda 20 x 10</v>
      </c>
      <c r="D1223" s="13" t="s">
        <v>462</v>
      </c>
      <c r="E1223" s="13" t="str">
        <f>IFERROR(VLOOKUP($D1223,Insumos!$B:$U,D$1,0),"")</f>
        <v>Grs</v>
      </c>
      <c r="F1223" s="70">
        <v>250.0</v>
      </c>
      <c r="G1223" s="93">
        <f>IFERROR(VLOOKUP($D1223,Insumos!$B:$U,G$1,0)/VLOOKUP($D1223,Insumos!$B:$U,F$1,0),"")</f>
        <v>9.2</v>
      </c>
      <c r="H1223" s="70">
        <f t="shared" si="450"/>
        <v>2300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2.75" customHeight="1">
      <c r="A1224" s="2"/>
      <c r="B1224" s="13">
        <f t="shared" si="486"/>
        <v>134</v>
      </c>
      <c r="C1224" s="13" t="str">
        <f t="shared" si="487"/>
        <v>Torta Matilda 20 x 10</v>
      </c>
      <c r="D1224" s="13" t="s">
        <v>454</v>
      </c>
      <c r="E1224" s="13" t="str">
        <f>IFERROR(VLOOKUP($D1224,Insumos!$B:$U,D$1,0),"")</f>
        <v>Grs</v>
      </c>
      <c r="F1224" s="70">
        <v>500.0</v>
      </c>
      <c r="G1224" s="93">
        <f>IFERROR(VLOOKUP($D1224,Insumos!$B:$U,G$1,0)/VLOOKUP($D1224,Insumos!$B:$U,F$1,0),"")</f>
        <v>10</v>
      </c>
      <c r="H1224" s="70">
        <f t="shared" si="450"/>
        <v>5000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2.75" customHeight="1">
      <c r="A1225" s="2"/>
      <c r="B1225" s="13">
        <f t="shared" si="486"/>
        <v>134</v>
      </c>
      <c r="C1225" s="13" t="str">
        <f t="shared" si="487"/>
        <v>Torta Matilda 20 x 10</v>
      </c>
      <c r="D1225" s="13" t="s">
        <v>401</v>
      </c>
      <c r="E1225" s="13" t="str">
        <f>IFERROR(VLOOKUP($D1225,Insumos!$B:$U,D$1,0),"")</f>
        <v>Unidad</v>
      </c>
      <c r="F1225" s="70">
        <v>1.0</v>
      </c>
      <c r="G1225" s="93">
        <f>IFERROR(VLOOKUP($D1225,Insumos!$B:$U,G$1,0)/VLOOKUP($D1225,Insumos!$B:$U,F$1,0),"")</f>
        <v>1300</v>
      </c>
      <c r="H1225" s="70">
        <f t="shared" si="450"/>
        <v>1300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2.75" customHeight="1">
      <c r="A1226" s="2"/>
      <c r="B1226" s="13">
        <f t="shared" si="486"/>
        <v>134</v>
      </c>
      <c r="C1226" s="13" t="str">
        <f t="shared" si="487"/>
        <v>Torta Matilda 20 x 10</v>
      </c>
      <c r="D1226" s="13" t="s">
        <v>426</v>
      </c>
      <c r="E1226" s="13" t="str">
        <f>IFERROR(VLOOKUP($D1226,Insumos!$B:$U,D$1,0),"")</f>
        <v>Unidad</v>
      </c>
      <c r="F1226" s="70">
        <v>1.0</v>
      </c>
      <c r="G1226" s="93">
        <f>IFERROR(VLOOKUP($D1226,Insumos!$B:$U,G$1,0)/VLOOKUP($D1226,Insumos!$B:$U,F$1,0),"")</f>
        <v>975</v>
      </c>
      <c r="H1226" s="70">
        <f t="shared" si="450"/>
        <v>975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2.75" customHeight="1">
      <c r="A1227" s="2"/>
      <c r="B1227" s="116">
        <f t="shared" si="486"/>
        <v>134</v>
      </c>
      <c r="C1227" s="116" t="str">
        <f t="shared" si="487"/>
        <v>Torta Matilda 20 x 10</v>
      </c>
      <c r="D1227" s="116" t="s">
        <v>466</v>
      </c>
      <c r="E1227" s="116" t="str">
        <f>IFERROR(VLOOKUP($D1227,Insumos!$B:$U,D$1,0),"")</f>
        <v>Grs</v>
      </c>
      <c r="F1227" s="117">
        <v>300.0</v>
      </c>
      <c r="G1227" s="117">
        <f>IFERROR(VLOOKUP($D1227,Insumos!$B:$U,G$1,0)/VLOOKUP($D1227,Insumos!$B:$U,F$1,0),"")</f>
        <v>3.4</v>
      </c>
      <c r="H1227" s="117">
        <f t="shared" si="450"/>
        <v>1020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2.75" customHeight="1">
      <c r="A1228" s="2"/>
      <c r="B1228" s="13">
        <v>135.0</v>
      </c>
      <c r="C1228" s="13" t="s">
        <v>734</v>
      </c>
      <c r="D1228" s="13" t="s">
        <v>489</v>
      </c>
      <c r="E1228" s="13" t="str">
        <f>IFERROR(VLOOKUP($D1228,Insumos!$B:$U,D$1,0),"")</f>
        <v>Grs</v>
      </c>
      <c r="F1228" s="70">
        <f>200/4</f>
        <v>50</v>
      </c>
      <c r="G1228" s="93">
        <f>IFERROR(VLOOKUP($D1228,Insumos!$B:$U,G$1,0)/VLOOKUP($D1228,Insumos!$B:$U,F$1,0),"")</f>
        <v>0.82</v>
      </c>
      <c r="H1228" s="70">
        <f t="shared" si="450"/>
        <v>41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2.75" customHeight="1">
      <c r="A1229" s="2"/>
      <c r="B1229" s="13">
        <f t="shared" ref="B1229:B1264" si="488">IF($D1228="","",B1228)</f>
        <v>135</v>
      </c>
      <c r="C1229" s="13" t="str">
        <f t="shared" ref="C1229:C1264" si="489">IF($D1229="","",C1228)</f>
        <v>desayuno dia del padre 2025</v>
      </c>
      <c r="D1229" s="13" t="s">
        <v>499</v>
      </c>
      <c r="E1229" s="13" t="str">
        <f>IFERROR(VLOOKUP($D1229,Insumos!$B:$U,D$1,0),"")</f>
        <v>Grs</v>
      </c>
      <c r="F1229" s="70">
        <f>10/4</f>
        <v>2.5</v>
      </c>
      <c r="G1229" s="93">
        <f>IFERROR(VLOOKUP($D1229,Insumos!$B:$U,G$1,0)/VLOOKUP($D1229,Insumos!$B:$U,F$1,0),"")</f>
        <v>8</v>
      </c>
      <c r="H1229" s="70">
        <f t="shared" si="450"/>
        <v>20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2.75" customHeight="1">
      <c r="A1230" s="2"/>
      <c r="B1230" s="13">
        <f t="shared" si="488"/>
        <v>135</v>
      </c>
      <c r="C1230" s="13" t="str">
        <f t="shared" si="489"/>
        <v>desayuno dia del padre 2025</v>
      </c>
      <c r="D1230" s="13" t="s">
        <v>388</v>
      </c>
      <c r="E1230" s="13" t="str">
        <f>IFERROR(VLOOKUP($D1230,Insumos!$B:$U,D$1,0),"")</f>
        <v>Cm3</v>
      </c>
      <c r="F1230" s="70">
        <v>25.0</v>
      </c>
      <c r="G1230" s="93">
        <f>IFERROR(VLOOKUP($D1230,Insumos!$B:$U,G$1,0)/VLOOKUP($D1230,Insumos!$B:$U,F$1,0),"")</f>
        <v>1.285714286</v>
      </c>
      <c r="H1230" s="70">
        <f t="shared" si="450"/>
        <v>32.14285714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2.75" customHeight="1">
      <c r="A1231" s="2"/>
      <c r="B1231" s="13">
        <f t="shared" si="488"/>
        <v>135</v>
      </c>
      <c r="C1231" s="113" t="str">
        <f t="shared" si="489"/>
        <v>desayuno dia del padre 2025</v>
      </c>
      <c r="D1231" s="120" t="s">
        <v>548</v>
      </c>
      <c r="E1231" s="105" t="str">
        <f>IFERROR(VLOOKUP($D1231,Insumos!$B:$U,D$1,0),"")</f>
        <v>Grs</v>
      </c>
      <c r="F1231" s="121">
        <f>75/4</f>
        <v>18.75</v>
      </c>
      <c r="G1231" s="122">
        <f>IFERROR(VLOOKUP($D1231,Insumos!$B:$U,G$1,0)/VLOOKUP($D1231,Insumos!$B:$U,F$1,0),"")</f>
        <v>0.75</v>
      </c>
      <c r="H1231" s="70">
        <f t="shared" si="450"/>
        <v>14.0625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2.75" customHeight="1">
      <c r="A1232" s="2"/>
      <c r="B1232" s="13">
        <f t="shared" si="488"/>
        <v>135</v>
      </c>
      <c r="C1232" s="13" t="str">
        <f t="shared" si="489"/>
        <v>desayuno dia del padre 2025</v>
      </c>
      <c r="D1232" s="13" t="s">
        <v>505</v>
      </c>
      <c r="E1232" s="13" t="str">
        <f>IFERROR(VLOOKUP($D1232,Insumos!$B:$U,D$1,0),"")</f>
        <v>Grs</v>
      </c>
      <c r="F1232" s="70">
        <f>140/3</f>
        <v>46.66666667</v>
      </c>
      <c r="G1232" s="93">
        <f>IFERROR(VLOOKUP($D1232,Insumos!$B:$U,G$1,0)/VLOOKUP($D1232,Insumos!$B:$U,F$1,0),"")</f>
        <v>11</v>
      </c>
      <c r="H1232" s="70">
        <f t="shared" si="450"/>
        <v>513.3333333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2.75" customHeight="1">
      <c r="A1233" s="2"/>
      <c r="B1233" s="13">
        <f t="shared" si="488"/>
        <v>135</v>
      </c>
      <c r="C1233" s="13" t="str">
        <f t="shared" si="489"/>
        <v>desayuno dia del padre 2025</v>
      </c>
      <c r="D1233" s="13" t="s">
        <v>492</v>
      </c>
      <c r="E1233" s="13" t="str">
        <f>IFERROR(VLOOKUP($D1233,Insumos!$B:$U,D$1,0),"")</f>
        <v>Unidad</v>
      </c>
      <c r="F1233" s="70">
        <f>2/3</f>
        <v>0.6666666667</v>
      </c>
      <c r="G1233" s="93">
        <f>IFERROR(VLOOKUP($D1233,Insumos!$B:$U,G$1,0)/VLOOKUP($D1233,Insumos!$B:$U,F$1,0),"")</f>
        <v>166.6666667</v>
      </c>
      <c r="H1233" s="70">
        <f t="shared" si="450"/>
        <v>111.1111111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2.75" customHeight="1">
      <c r="A1234" s="2"/>
      <c r="B1234" s="13">
        <f t="shared" si="488"/>
        <v>135</v>
      </c>
      <c r="C1234" s="13" t="str">
        <f t="shared" si="489"/>
        <v>desayuno dia del padre 2025</v>
      </c>
      <c r="D1234" s="13" t="s">
        <v>496</v>
      </c>
      <c r="E1234" s="13" t="str">
        <f>IFERROR(VLOOKUP($D1234,Insumos!$B:$U,D$1,0),"")</f>
        <v>Cm3</v>
      </c>
      <c r="F1234" s="70">
        <f>100/3</f>
        <v>33.33333333</v>
      </c>
      <c r="G1234" s="93">
        <f>IFERROR(VLOOKUP($D1234,Insumos!$B:$U,G$1,0)/VLOOKUP($D1234,Insumos!$B:$U,F$1,0),"")</f>
        <v>2.1</v>
      </c>
      <c r="H1234" s="70">
        <f t="shared" si="450"/>
        <v>70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2.75" customHeight="1">
      <c r="A1235" s="2"/>
      <c r="B1235" s="13">
        <f t="shared" si="488"/>
        <v>135</v>
      </c>
      <c r="C1235" s="13" t="str">
        <f t="shared" si="489"/>
        <v>desayuno dia del padre 2025</v>
      </c>
      <c r="D1235" s="13" t="s">
        <v>600</v>
      </c>
      <c r="E1235" s="13" t="str">
        <f>IFERROR(VLOOKUP($D1235,Insumos!$B:$U,D$1,0),"")</f>
        <v>Grs</v>
      </c>
      <c r="F1235" s="70">
        <f>250/3</f>
        <v>83.33333333</v>
      </c>
      <c r="G1235" s="93">
        <f>IFERROR(VLOOKUP($D1235,Insumos!$B:$U,G$1,0)/VLOOKUP($D1235,Insumos!$B:$U,F$1,0),"")</f>
        <v>18</v>
      </c>
      <c r="H1235" s="70">
        <f t="shared" si="450"/>
        <v>1500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2.75" customHeight="1">
      <c r="A1236" s="2"/>
      <c r="B1236" s="13">
        <f t="shared" si="488"/>
        <v>135</v>
      </c>
      <c r="C1236" s="13" t="str">
        <f t="shared" si="489"/>
        <v>desayuno dia del padre 2025</v>
      </c>
      <c r="D1236" s="13" t="s">
        <v>473</v>
      </c>
      <c r="E1236" s="13" t="str">
        <f>IFERROR(VLOOKUP($D1236,Insumos!$B:$U,D$1,0),"")</f>
        <v>Grs</v>
      </c>
      <c r="F1236" s="70">
        <f>450/3</f>
        <v>150</v>
      </c>
      <c r="G1236" s="93">
        <f>IFERROR(VLOOKUP($D1236,Insumos!$B:$U,G$1,0)/VLOOKUP($D1236,Insumos!$B:$U,F$1,0),"")</f>
        <v>3.5</v>
      </c>
      <c r="H1236" s="70">
        <f t="shared" si="450"/>
        <v>525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2.75" customHeight="1">
      <c r="A1237" s="2"/>
      <c r="B1237" s="13">
        <f t="shared" si="488"/>
        <v>135</v>
      </c>
      <c r="C1237" s="13" t="str">
        <f t="shared" si="489"/>
        <v>desayuno dia del padre 2025</v>
      </c>
      <c r="D1237" s="13" t="s">
        <v>505</v>
      </c>
      <c r="E1237" s="13" t="str">
        <f>IFERROR(VLOOKUP($D1237,Insumos!$B:$U,D$1,0),"")</f>
        <v>Grs</v>
      </c>
      <c r="F1237" s="70">
        <v>15.0</v>
      </c>
      <c r="G1237" s="93">
        <f>IFERROR(VLOOKUP($D1237,Insumos!$B:$U,G$1,0)/VLOOKUP($D1237,Insumos!$B:$U,F$1,0),"")</f>
        <v>11</v>
      </c>
      <c r="H1237" s="70">
        <f t="shared" si="450"/>
        <v>165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2.75" customHeight="1">
      <c r="A1238" s="2"/>
      <c r="B1238" s="13">
        <f t="shared" si="488"/>
        <v>135</v>
      </c>
      <c r="C1238" s="13" t="str">
        <f t="shared" si="489"/>
        <v>desayuno dia del padre 2025</v>
      </c>
      <c r="D1238" s="13" t="s">
        <v>397</v>
      </c>
      <c r="E1238" s="13" t="str">
        <f>IFERROR(VLOOKUP($D1238,Insumos!$B:$U,D$1,0),"")</f>
        <v>Grs</v>
      </c>
      <c r="F1238" s="70">
        <v>15.0</v>
      </c>
      <c r="G1238" s="93">
        <f>IFERROR(VLOOKUP($D1238,Insumos!$B:$U,G$1,0)/VLOOKUP($D1238,Insumos!$B:$U,F$1,0),"")</f>
        <v>1.5</v>
      </c>
      <c r="H1238" s="70">
        <f t="shared" si="450"/>
        <v>22.5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2.75" customHeight="1">
      <c r="A1239" s="2"/>
      <c r="B1239" s="13">
        <f t="shared" si="488"/>
        <v>135</v>
      </c>
      <c r="C1239" s="13" t="str">
        <f t="shared" si="489"/>
        <v>desayuno dia del padre 2025</v>
      </c>
      <c r="D1239" s="13" t="s">
        <v>569</v>
      </c>
      <c r="E1239" s="13" t="str">
        <f>IFERROR(VLOOKUP($D1239,Insumos!$B:$U,D$1,0),"")</f>
        <v>Unidad</v>
      </c>
      <c r="F1239" s="70">
        <v>2.0</v>
      </c>
      <c r="G1239" s="93">
        <f>IFERROR(VLOOKUP($D1239,Insumos!$B:$U,G$1,0)/VLOOKUP($D1239,Insumos!$B:$U,F$1,0),"")</f>
        <v>166.6666667</v>
      </c>
      <c r="H1239" s="70">
        <f t="shared" si="450"/>
        <v>333.3333333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2.75" customHeight="1">
      <c r="A1240" s="2"/>
      <c r="B1240" s="13">
        <f t="shared" si="488"/>
        <v>135</v>
      </c>
      <c r="C1240" s="13" t="str">
        <f t="shared" si="489"/>
        <v>desayuno dia del padre 2025</v>
      </c>
      <c r="D1240" s="13" t="s">
        <v>408</v>
      </c>
      <c r="E1240" s="13" t="str">
        <f>IFERROR(VLOOKUP($D1240,Insumos!$B:$U,D$1,0),"")</f>
        <v>Grs</v>
      </c>
      <c r="F1240" s="70">
        <v>1.0</v>
      </c>
      <c r="G1240" s="93">
        <f>IFERROR(VLOOKUP($D1240,Insumos!$B:$U,G$1,0)/VLOOKUP($D1240,Insumos!$B:$U,F$1,0),"")</f>
        <v>16.64</v>
      </c>
      <c r="H1240" s="70">
        <f t="shared" si="450"/>
        <v>16.64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2.75" customHeight="1">
      <c r="A1241" s="2"/>
      <c r="B1241" s="13">
        <f t="shared" si="488"/>
        <v>135</v>
      </c>
      <c r="C1241" s="13" t="str">
        <f t="shared" si="489"/>
        <v>desayuno dia del padre 2025</v>
      </c>
      <c r="D1241" s="13" t="s">
        <v>501</v>
      </c>
      <c r="E1241" s="13" t="str">
        <f>IFERROR(VLOOKUP($D1241,Insumos!$B:$U,D$1,0),"")</f>
        <v>Grs</v>
      </c>
      <c r="F1241" s="70">
        <v>45.0</v>
      </c>
      <c r="G1241" s="93">
        <f>IFERROR(VLOOKUP($D1241,Insumos!$B:$U,G$1,0)/VLOOKUP($D1241,Insumos!$B:$U,F$1,0),"")</f>
        <v>2.8</v>
      </c>
      <c r="H1241" s="70">
        <f t="shared" si="450"/>
        <v>126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2.75" customHeight="1">
      <c r="A1242" s="2"/>
      <c r="B1242" s="13">
        <f t="shared" si="488"/>
        <v>135</v>
      </c>
      <c r="C1242" s="13" t="str">
        <f t="shared" si="489"/>
        <v>desayuno dia del padre 2025</v>
      </c>
      <c r="D1242" s="13" t="s">
        <v>586</v>
      </c>
      <c r="E1242" s="13" t="str">
        <f>IFERROR(VLOOKUP($D1242,Insumos!$B:$U,D$1,0),"")</f>
        <v>Grs</v>
      </c>
      <c r="F1242" s="70">
        <v>15.0</v>
      </c>
      <c r="G1242" s="93">
        <f>IFERROR(VLOOKUP($D1242,Insumos!$B:$U,G$1,0)/VLOOKUP($D1242,Insumos!$B:$U,F$1,0),"")</f>
        <v>1.5</v>
      </c>
      <c r="H1242" s="70">
        <f t="shared" si="450"/>
        <v>22.5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2.75" customHeight="1">
      <c r="A1243" s="2"/>
      <c r="B1243" s="13">
        <f t="shared" si="488"/>
        <v>135</v>
      </c>
      <c r="C1243" s="13" t="str">
        <f t="shared" si="489"/>
        <v>desayuno dia del padre 2025</v>
      </c>
      <c r="D1243" s="13" t="s">
        <v>500</v>
      </c>
      <c r="E1243" s="13" t="str">
        <f>IFERROR(VLOOKUP($D1243,Insumos!$B:$U,D$1,0),"")</f>
        <v>Unidad</v>
      </c>
      <c r="F1243" s="70">
        <v>0.5</v>
      </c>
      <c r="G1243" s="93">
        <f>IFERROR(VLOOKUP($D1243,Insumos!$B:$U,G$1,0)/VLOOKUP($D1243,Insumos!$B:$U,F$1,0),"")</f>
        <v>180</v>
      </c>
      <c r="H1243" s="70">
        <f t="shared" si="450"/>
        <v>90</v>
      </c>
      <c r="I1243" s="2"/>
      <c r="J1243" s="2"/>
      <c r="K1243" s="2"/>
      <c r="L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2.75" customHeight="1">
      <c r="A1244" s="2"/>
      <c r="B1244" s="13">
        <f t="shared" si="488"/>
        <v>135</v>
      </c>
      <c r="C1244" s="13" t="str">
        <f t="shared" si="489"/>
        <v>desayuno dia del padre 2025</v>
      </c>
      <c r="D1244" s="13" t="s">
        <v>457</v>
      </c>
      <c r="E1244" s="13" t="s">
        <v>392</v>
      </c>
      <c r="F1244" s="70">
        <v>15.0</v>
      </c>
      <c r="G1244" s="93">
        <f>IFERROR(VLOOKUP($D1244,Insumos!$B:$U,G$1,0)/VLOOKUP($D1244,Insumos!$B:$U,F$1,0),"")</f>
        <v>10.5</v>
      </c>
      <c r="H1244" s="70">
        <f t="shared" si="450"/>
        <v>157.5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2.75" customHeight="1">
      <c r="A1245" s="2"/>
      <c r="B1245" s="13">
        <f t="shared" si="488"/>
        <v>135</v>
      </c>
      <c r="C1245" s="13" t="str">
        <f t="shared" si="489"/>
        <v>desayuno dia del padre 2025</v>
      </c>
      <c r="D1245" s="13" t="s">
        <v>466</v>
      </c>
      <c r="E1245" s="13" t="str">
        <f>IFERROR(VLOOKUP($D1245,Insumos!$B:$U,D$1,0),"")</f>
        <v>Grs</v>
      </c>
      <c r="F1245" s="70">
        <v>60.0</v>
      </c>
      <c r="G1245" s="93">
        <f>IFERROR(VLOOKUP($D1245,Insumos!$B:$U,G$1,0)/VLOOKUP($D1245,Insumos!$B:$U,F$1,0),"")</f>
        <v>3.4</v>
      </c>
      <c r="H1245" s="70">
        <f t="shared" si="450"/>
        <v>204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2.75" customHeight="1">
      <c r="A1246" s="2"/>
      <c r="B1246" s="13">
        <f t="shared" si="488"/>
        <v>135</v>
      </c>
      <c r="C1246" s="13" t="str">
        <f t="shared" si="489"/>
        <v>desayuno dia del padre 2025</v>
      </c>
      <c r="D1246" s="13" t="s">
        <v>489</v>
      </c>
      <c r="E1246" s="13" t="str">
        <f>IFERROR(VLOOKUP($D1246,Insumos!$B:$U,D$1,0),"")</f>
        <v>Grs</v>
      </c>
      <c r="F1246" s="70">
        <v>240.0</v>
      </c>
      <c r="G1246" s="93">
        <f>IFERROR(VLOOKUP($D1246,Insumos!$B:$U,G$1,0)/VLOOKUP($D1246,Insumos!$B:$U,F$1,0),"")</f>
        <v>0.82</v>
      </c>
      <c r="H1246" s="70">
        <f t="shared" si="450"/>
        <v>196.8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2.75" customHeight="1">
      <c r="A1247" s="2"/>
      <c r="B1247" s="13">
        <f t="shared" si="488"/>
        <v>135</v>
      </c>
      <c r="C1247" s="13" t="str">
        <f t="shared" si="489"/>
        <v>desayuno dia del padre 2025</v>
      </c>
      <c r="D1247" s="13" t="s">
        <v>501</v>
      </c>
      <c r="E1247" s="13" t="str">
        <f>IFERROR(VLOOKUP($D1247,Insumos!$B:$U,D$1,0),"")</f>
        <v>Grs</v>
      </c>
      <c r="F1247" s="70">
        <v>60.0</v>
      </c>
      <c r="G1247" s="93">
        <f>IFERROR(VLOOKUP($D1247,Insumos!$B:$U,G$1,0)/VLOOKUP($D1247,Insumos!$B:$U,F$1,0),"")</f>
        <v>2.8</v>
      </c>
      <c r="H1247" s="70">
        <f t="shared" si="450"/>
        <v>168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2.75" customHeight="1">
      <c r="A1248" s="2"/>
      <c r="B1248" s="13">
        <f t="shared" si="488"/>
        <v>135</v>
      </c>
      <c r="C1248" s="13" t="str">
        <f t="shared" si="489"/>
        <v>desayuno dia del padre 2025</v>
      </c>
      <c r="D1248" s="13" t="s">
        <v>422</v>
      </c>
      <c r="E1248" s="13" t="str">
        <f>IFERROR(VLOOKUP($D1248,Insumos!$B:$U,D$1,0),"")</f>
        <v>Grs</v>
      </c>
      <c r="F1248" s="70">
        <v>18.0</v>
      </c>
      <c r="G1248" s="93">
        <f>IFERROR(VLOOKUP($D1248,Insumos!$B:$U,G$1,0)/VLOOKUP($D1248,Insumos!$B:$U,F$1,0),"")</f>
        <v>36.11111111</v>
      </c>
      <c r="H1248" s="70">
        <f t="shared" si="450"/>
        <v>650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2.75" customHeight="1">
      <c r="A1249" s="2"/>
      <c r="B1249" s="13">
        <f t="shared" si="488"/>
        <v>135</v>
      </c>
      <c r="C1249" s="13" t="str">
        <f t="shared" si="489"/>
        <v>desayuno dia del padre 2025</v>
      </c>
      <c r="D1249" s="13" t="s">
        <v>528</v>
      </c>
      <c r="E1249" s="13" t="str">
        <f>IFERROR(VLOOKUP($D1249,Insumos!$B:$U,D$1,0),"")</f>
        <v>Grs</v>
      </c>
      <c r="F1249" s="70">
        <v>2.0</v>
      </c>
      <c r="G1249" s="93">
        <f>IFERROR(VLOOKUP($D1249,Insumos!$B:$U,G$1,0)/VLOOKUP($D1249,Insumos!$B:$U,F$1,0),"")</f>
        <v>8</v>
      </c>
      <c r="H1249" s="70">
        <f t="shared" si="450"/>
        <v>16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2.75" customHeight="1">
      <c r="A1250" s="2"/>
      <c r="B1250" s="13">
        <f t="shared" si="488"/>
        <v>135</v>
      </c>
      <c r="C1250" s="13" t="str">
        <f t="shared" si="489"/>
        <v>desayuno dia del padre 2025</v>
      </c>
      <c r="D1250" s="13" t="s">
        <v>408</v>
      </c>
      <c r="E1250" s="13" t="str">
        <f>IFERROR(VLOOKUP($D1250,Insumos!$B:$U,D$1,0),"")</f>
        <v>Grs</v>
      </c>
      <c r="F1250" s="70">
        <v>2.0</v>
      </c>
      <c r="G1250" s="93">
        <f>IFERROR(VLOOKUP($D1250,Insumos!$B:$U,G$1,0)/VLOOKUP($D1250,Insumos!$B:$U,F$1,0),"")</f>
        <v>16.64</v>
      </c>
      <c r="H1250" s="70">
        <f t="shared" si="450"/>
        <v>33.28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2.75" customHeight="1">
      <c r="A1251" s="2"/>
      <c r="B1251" s="13">
        <f t="shared" si="488"/>
        <v>135</v>
      </c>
      <c r="C1251" s="13" t="str">
        <f t="shared" si="489"/>
        <v>desayuno dia del padre 2025</v>
      </c>
      <c r="D1251" s="13" t="s">
        <v>505</v>
      </c>
      <c r="E1251" s="13" t="str">
        <f>IFERROR(VLOOKUP($D1251,Insumos!$B:$U,D$1,0),"")</f>
        <v>Grs</v>
      </c>
      <c r="F1251" s="70">
        <v>120.0</v>
      </c>
      <c r="G1251" s="93">
        <f>IFERROR(VLOOKUP($D1251,Insumos!$B:$U,G$1,0)/VLOOKUP($D1251,Insumos!$B:$U,F$1,0),"")</f>
        <v>11</v>
      </c>
      <c r="H1251" s="70">
        <f t="shared" si="450"/>
        <v>1320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2.75" customHeight="1">
      <c r="A1252" s="2"/>
      <c r="B1252" s="13">
        <f t="shared" si="488"/>
        <v>135</v>
      </c>
      <c r="C1252" s="13" t="str">
        <f t="shared" si="489"/>
        <v>desayuno dia del padre 2025</v>
      </c>
      <c r="D1252" s="13" t="s">
        <v>573</v>
      </c>
      <c r="E1252" s="13" t="str">
        <f>IFERROR(VLOOKUP($D1252,Insumos!$B:$U,D$1,0),"")</f>
        <v>Grs</v>
      </c>
      <c r="F1252" s="70">
        <v>90.0</v>
      </c>
      <c r="G1252" s="93">
        <f>IFERROR(VLOOKUP($D1252,Insumos!$B:$U,G$1,0)/VLOOKUP($D1252,Insumos!$B:$U,F$1,0),"")</f>
        <v>1.4</v>
      </c>
      <c r="H1252" s="70">
        <f t="shared" si="450"/>
        <v>126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2.75" customHeight="1">
      <c r="A1253" s="2"/>
      <c r="B1253" s="13">
        <f t="shared" si="488"/>
        <v>135</v>
      </c>
      <c r="C1253" s="13" t="str">
        <f t="shared" si="489"/>
        <v>desayuno dia del padre 2025</v>
      </c>
      <c r="D1253" s="13" t="s">
        <v>513</v>
      </c>
      <c r="E1253" s="13" t="str">
        <f>IFERROR(VLOOKUP($D1253,Insumos!$B:$U,D$1,0),"")</f>
        <v>Cm3</v>
      </c>
      <c r="F1253" s="70">
        <v>30.0</v>
      </c>
      <c r="G1253" s="93">
        <f>IFERROR(VLOOKUP($D1253,Insumos!$B:$U,G$1,0)/VLOOKUP($D1253,Insumos!$B:$U,F$1,0),"")</f>
        <v>4.5</v>
      </c>
      <c r="H1253" s="70">
        <f t="shared" si="450"/>
        <v>135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2.75" customHeight="1">
      <c r="A1254" s="2"/>
      <c r="B1254" s="13">
        <f t="shared" si="488"/>
        <v>135</v>
      </c>
      <c r="C1254" s="13" t="str">
        <f t="shared" si="489"/>
        <v>desayuno dia del padre 2025</v>
      </c>
      <c r="D1254" s="13" t="s">
        <v>569</v>
      </c>
      <c r="E1254" s="13" t="str">
        <f>IFERROR(VLOOKUP($D1254,Insumos!$B:$U,D$1,0),"")</f>
        <v>Unidad</v>
      </c>
      <c r="F1254" s="70">
        <v>1.0</v>
      </c>
      <c r="G1254" s="93">
        <f>IFERROR(VLOOKUP($D1254,Insumos!$B:$U,G$1,0)/VLOOKUP($D1254,Insumos!$B:$U,F$1,0),"")</f>
        <v>166.6666667</v>
      </c>
      <c r="H1254" s="70">
        <f t="shared" si="450"/>
        <v>166.6666667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2.75" customHeight="1">
      <c r="A1255" s="2"/>
      <c r="B1255" s="13">
        <f t="shared" si="488"/>
        <v>135</v>
      </c>
      <c r="C1255" s="13" t="str">
        <f t="shared" si="489"/>
        <v>desayuno dia del padre 2025</v>
      </c>
      <c r="D1255" s="13" t="s">
        <v>468</v>
      </c>
      <c r="E1255" s="13" t="str">
        <f>IFERROR(VLOOKUP($D1255,Insumos!$B:$U,D$1,0),"")</f>
        <v>Cm3</v>
      </c>
      <c r="F1255" s="70">
        <v>6.0</v>
      </c>
      <c r="G1255" s="93">
        <f>IFERROR(VLOOKUP($D1255,Insumos!$B:$U,G$1,0)/VLOOKUP($D1255,Insumos!$B:$U,F$1,0),"")</f>
        <v>1.52</v>
      </c>
      <c r="H1255" s="70">
        <f t="shared" si="450"/>
        <v>9.12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2.75" customHeight="1">
      <c r="A1256" s="2"/>
      <c r="B1256" s="13">
        <f t="shared" si="488"/>
        <v>135</v>
      </c>
      <c r="C1256" s="13" t="str">
        <f t="shared" si="489"/>
        <v>desayuno dia del padre 2025</v>
      </c>
      <c r="D1256" s="13" t="s">
        <v>466</v>
      </c>
      <c r="E1256" s="13" t="str">
        <f>IFERROR(VLOOKUP($D1256,Insumos!$B:$U,D$1,0),"")</f>
        <v>Grs</v>
      </c>
      <c r="F1256" s="70">
        <v>120.0</v>
      </c>
      <c r="G1256" s="93">
        <f>IFERROR(VLOOKUP($D1256,Insumos!$B:$U,G$1,0)/VLOOKUP($D1256,Insumos!$B:$U,F$1,0),"")</f>
        <v>3.4</v>
      </c>
      <c r="H1256" s="70">
        <f t="shared" si="450"/>
        <v>408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2.75" customHeight="1">
      <c r="A1257" s="2"/>
      <c r="B1257" s="13">
        <f t="shared" si="488"/>
        <v>135</v>
      </c>
      <c r="C1257" s="13" t="str">
        <f t="shared" si="489"/>
        <v>desayuno dia del padre 2025</v>
      </c>
      <c r="D1257" s="13" t="s">
        <v>489</v>
      </c>
      <c r="E1257" s="13" t="str">
        <f>IFERROR(VLOOKUP($D1257,Insumos!$B:$U,D$1,0),"")</f>
        <v>Grs</v>
      </c>
      <c r="F1257" s="70">
        <f>250/2</f>
        <v>125</v>
      </c>
      <c r="G1257" s="93">
        <f>IFERROR(VLOOKUP($D1257,Insumos!$B:$U,G$1,0)/VLOOKUP($D1257,Insumos!$B:$U,F$1,0),"")</f>
        <v>0.82</v>
      </c>
      <c r="H1257" s="70">
        <f t="shared" si="450"/>
        <v>102.5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2.75" customHeight="1">
      <c r="A1258" s="2"/>
      <c r="B1258" s="13">
        <f t="shared" si="488"/>
        <v>135</v>
      </c>
      <c r="C1258" s="13" t="str">
        <f t="shared" si="489"/>
        <v>desayuno dia del padre 2025</v>
      </c>
      <c r="D1258" s="13" t="s">
        <v>499</v>
      </c>
      <c r="E1258" s="13" t="str">
        <f>IFERROR(VLOOKUP($D1258,Insumos!$B:$U,D$1,0),"")</f>
        <v>Grs</v>
      </c>
      <c r="F1258" s="70">
        <f>25/4</f>
        <v>6.25</v>
      </c>
      <c r="G1258" s="93">
        <f>IFERROR(VLOOKUP($D1258,Insumos!$B:$U,G$1,0)/VLOOKUP($D1258,Insumos!$B:$U,F$1,0),"")</f>
        <v>8</v>
      </c>
      <c r="H1258" s="70">
        <f t="shared" si="450"/>
        <v>50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2.75" customHeight="1">
      <c r="A1259" s="2"/>
      <c r="B1259" s="13">
        <f t="shared" si="488"/>
        <v>135</v>
      </c>
      <c r="C1259" s="13" t="str">
        <f t="shared" si="489"/>
        <v>desayuno dia del padre 2025</v>
      </c>
      <c r="D1259" s="13" t="s">
        <v>505</v>
      </c>
      <c r="E1259" s="13" t="str">
        <f>IFERROR(VLOOKUP($D1259,Insumos!$B:$U,D$1,0),"")</f>
        <v>Grs</v>
      </c>
      <c r="F1259" s="70">
        <f>75/4</f>
        <v>18.75</v>
      </c>
      <c r="G1259" s="93">
        <f>IFERROR(VLOOKUP($D1259,Insumos!$B:$U,G$1,0)/VLOOKUP($D1259,Insumos!$B:$U,F$1,0),"")</f>
        <v>11</v>
      </c>
      <c r="H1259" s="70">
        <f t="shared" si="450"/>
        <v>206.25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2.75" customHeight="1">
      <c r="A1260" s="2"/>
      <c r="B1260" s="13">
        <f t="shared" si="488"/>
        <v>135</v>
      </c>
      <c r="C1260" s="13" t="str">
        <f t="shared" si="489"/>
        <v>desayuno dia del padre 2025</v>
      </c>
      <c r="D1260" s="13" t="s">
        <v>395</v>
      </c>
      <c r="E1260" s="13" t="str">
        <f>IFERROR(VLOOKUP($D1260,Insumos!$B:$U,D$1,0),"")</f>
        <v>Grs</v>
      </c>
      <c r="F1260" s="70">
        <v>19.0</v>
      </c>
      <c r="G1260" s="93">
        <f>IFERROR(VLOOKUP($D1260,Insumos!$B:$U,G$1,0)/VLOOKUP($D1260,Insumos!$B:$U,F$1,0),"")</f>
        <v>1.4</v>
      </c>
      <c r="H1260" s="70">
        <f t="shared" si="450"/>
        <v>26.6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2.75" customHeight="1">
      <c r="A1261" s="2"/>
      <c r="B1261" s="13">
        <f t="shared" si="488"/>
        <v>135</v>
      </c>
      <c r="C1261" s="13" t="str">
        <f t="shared" si="489"/>
        <v>desayuno dia del padre 2025</v>
      </c>
      <c r="D1261" s="13" t="s">
        <v>544</v>
      </c>
      <c r="E1261" s="13" t="str">
        <f>IFERROR(VLOOKUP($D1261,Insumos!$B:$U,D$1,0),"")</f>
        <v>Grs</v>
      </c>
      <c r="F1261" s="70">
        <f>60/4</f>
        <v>15</v>
      </c>
      <c r="G1261" s="93">
        <f>IFERROR(VLOOKUP($D1261,Insumos!$B:$U,G$1,0)/VLOOKUP($D1261,Insumos!$B:$U,F$1,0),"")</f>
        <v>30</v>
      </c>
      <c r="H1261" s="70">
        <f t="shared" si="450"/>
        <v>450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2.75" customHeight="1">
      <c r="A1262" s="2"/>
      <c r="B1262" s="13">
        <f t="shared" si="488"/>
        <v>135</v>
      </c>
      <c r="C1262" s="13" t="str">
        <f t="shared" si="489"/>
        <v>desayuno dia del padre 2025</v>
      </c>
      <c r="D1262" s="13" t="s">
        <v>493</v>
      </c>
      <c r="E1262" s="13" t="str">
        <f>IFERROR(VLOOKUP($D1262,Insumos!$B:$U,D$1,0),"")</f>
        <v>Grs</v>
      </c>
      <c r="F1262" s="70">
        <v>50.0</v>
      </c>
      <c r="G1262" s="93">
        <f>IFERROR(VLOOKUP($D1262,Insumos!$B:$U,G$1,0)/VLOOKUP($D1262,Insumos!$B:$U,F$1,0),"")</f>
        <v>20</v>
      </c>
      <c r="H1262" s="70">
        <f t="shared" si="450"/>
        <v>1000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2.75" customHeight="1">
      <c r="A1263" s="2"/>
      <c r="B1263" s="13">
        <f t="shared" si="488"/>
        <v>135</v>
      </c>
      <c r="C1263" s="13" t="str">
        <f t="shared" si="489"/>
        <v>desayuno dia del padre 2025</v>
      </c>
      <c r="D1263" s="13" t="s">
        <v>534</v>
      </c>
      <c r="E1263" s="13" t="s">
        <v>392</v>
      </c>
      <c r="F1263" s="70">
        <v>50.0</v>
      </c>
      <c r="G1263" s="93">
        <f>IFERROR(VLOOKUP($D1263,Insumos!$B:$U,G$1,0)/VLOOKUP($D1263,Insumos!$B:$U,F$1,0),"")</f>
        <v>16</v>
      </c>
      <c r="H1263" s="70">
        <f t="shared" si="450"/>
        <v>800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2.75" customHeight="1">
      <c r="A1264" s="2"/>
      <c r="B1264" s="116">
        <f t="shared" si="488"/>
        <v>135</v>
      </c>
      <c r="C1264" s="116" t="str">
        <f t="shared" si="489"/>
        <v>desayuno dia del padre 2025</v>
      </c>
      <c r="D1264" s="116" t="s">
        <v>442</v>
      </c>
      <c r="E1264" s="116" t="str">
        <f>IFERROR(VLOOKUP($D1264,Insumos!$B:$U,D$1,0),"")</f>
        <v>Unidad</v>
      </c>
      <c r="F1264" s="117">
        <v>1.0</v>
      </c>
      <c r="G1264" s="117">
        <f>IFERROR(VLOOKUP($D1264,Insumos!$B:$U,G$1,0)/VLOOKUP($D1264,Insumos!$B:$U,F$1,0),"")</f>
        <v>1300</v>
      </c>
      <c r="H1264" s="117">
        <f t="shared" si="450"/>
        <v>1300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2.75" customHeight="1">
      <c r="A1265" s="2"/>
      <c r="B1265" s="13">
        <v>136.0</v>
      </c>
      <c r="C1265" s="123" t="s">
        <v>735</v>
      </c>
      <c r="D1265" s="13" t="s">
        <v>496</v>
      </c>
      <c r="E1265" s="13" t="str">
        <f>IFERROR(VLOOKUP($D1265,Insumos!$B:$U,D$1,0),"")</f>
        <v>Cm3</v>
      </c>
      <c r="F1265" s="70">
        <v>150.0</v>
      </c>
      <c r="G1265" s="93">
        <f>IFERROR(VLOOKUP($D1265,Insumos!$B:$U,G$1,0)/VLOOKUP($D1265,Insumos!$B:$U,F$1,0),"")</f>
        <v>2.1</v>
      </c>
      <c r="H1265" s="70">
        <f t="shared" si="450"/>
        <v>315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2.75" customHeight="1">
      <c r="A1266" s="2"/>
      <c r="B1266" s="13">
        <f t="shared" ref="B1266:B1270" si="490">IF($D1265="","",B1265)</f>
        <v>136</v>
      </c>
      <c r="C1266" s="13" t="str">
        <f t="shared" ref="C1266:C1270" si="491">IF($D1266="","",C1265)</f>
        <v>Donas bañadas en choco </v>
      </c>
      <c r="D1266" s="13" t="s">
        <v>499</v>
      </c>
      <c r="E1266" s="13" t="str">
        <f>IFERROR(VLOOKUP($D1266,Insumos!$B:$U,D$1,0),"")</f>
        <v>Grs</v>
      </c>
      <c r="F1266" s="70">
        <v>25.0</v>
      </c>
      <c r="G1266" s="93">
        <f>IFERROR(VLOOKUP($D1266,Insumos!$B:$U,G$1,0)/VLOOKUP($D1266,Insumos!$B:$U,F$1,0),"")</f>
        <v>8</v>
      </c>
      <c r="H1266" s="70">
        <f t="shared" si="450"/>
        <v>200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2.75" customHeight="1">
      <c r="A1267" s="2"/>
      <c r="B1267" s="13">
        <f t="shared" si="490"/>
        <v>136</v>
      </c>
      <c r="C1267" s="13" t="str">
        <f t="shared" si="491"/>
        <v>Donas bañadas en choco </v>
      </c>
      <c r="D1267" s="13" t="s">
        <v>395</v>
      </c>
      <c r="E1267" s="13" t="str">
        <f>IFERROR(VLOOKUP($D1267,Insumos!$B:$U,D$1,0),"")</f>
        <v>Grs</v>
      </c>
      <c r="F1267" s="70">
        <v>100.0</v>
      </c>
      <c r="G1267" s="93">
        <f>IFERROR(VLOOKUP($D1267,Insumos!$B:$U,G$1,0)/VLOOKUP($D1267,Insumos!$B:$U,F$1,0),"")</f>
        <v>1.4</v>
      </c>
      <c r="H1267" s="70">
        <f t="shared" si="450"/>
        <v>140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2.75" customHeight="1">
      <c r="A1268" s="2"/>
      <c r="B1268" s="13">
        <f t="shared" si="490"/>
        <v>136</v>
      </c>
      <c r="C1268" s="13" t="str">
        <f t="shared" si="491"/>
        <v>Donas bañadas en choco </v>
      </c>
      <c r="D1268" s="13" t="s">
        <v>489</v>
      </c>
      <c r="E1268" s="13" t="str">
        <f>IFERROR(VLOOKUP($D1268,Insumos!$B:$U,D$1,0),"")</f>
        <v>Grs</v>
      </c>
      <c r="F1268" s="70">
        <v>500.0</v>
      </c>
      <c r="G1268" s="93">
        <f>IFERROR(VLOOKUP($D1268,Insumos!$B:$U,G$1,0)/VLOOKUP($D1268,Insumos!$B:$U,F$1,0),"")</f>
        <v>0.82</v>
      </c>
      <c r="H1268" s="70">
        <f t="shared" si="450"/>
        <v>410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2.75" customHeight="1">
      <c r="A1269" s="2"/>
      <c r="B1269" s="13">
        <f t="shared" si="490"/>
        <v>136</v>
      </c>
      <c r="C1269" s="13" t="str">
        <f t="shared" si="491"/>
        <v>Donas bañadas en choco </v>
      </c>
      <c r="D1269" s="13" t="s">
        <v>454</v>
      </c>
      <c r="E1269" s="13" t="str">
        <f>IFERROR(VLOOKUP($D1269,Insumos!$B:$U,D$1,0),"")</f>
        <v>Grs</v>
      </c>
      <c r="F1269" s="70">
        <v>500.0</v>
      </c>
      <c r="G1269" s="93">
        <f>IFERROR(VLOOKUP($D1269,Insumos!$B:$U,G$1,0)/VLOOKUP($D1269,Insumos!$B:$U,F$1,0),"")</f>
        <v>10</v>
      </c>
      <c r="H1269" s="70">
        <f t="shared" si="450"/>
        <v>5000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2.75" customHeight="1">
      <c r="A1270" s="2"/>
      <c r="B1270" s="116">
        <f t="shared" si="490"/>
        <v>136</v>
      </c>
      <c r="C1270" s="116" t="str">
        <f t="shared" si="491"/>
        <v>Donas bañadas en choco </v>
      </c>
      <c r="D1270" s="116" t="s">
        <v>459</v>
      </c>
      <c r="E1270" s="116" t="str">
        <f>IFERROR(VLOOKUP($D1270,Insumos!$B:$U,D$1,0),"")</f>
        <v>Grs</v>
      </c>
      <c r="F1270" s="117">
        <v>3.0</v>
      </c>
      <c r="G1270" s="117">
        <f>IFERROR(VLOOKUP($D1270,Insumos!$B:$U,G$1,0)/VLOOKUP($D1270,Insumos!$B:$U,F$1,0),"")</f>
        <v>233.3333333</v>
      </c>
      <c r="H1270" s="117">
        <f t="shared" si="450"/>
        <v>700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2.75" customHeight="1">
      <c r="A1271" s="2"/>
      <c r="B1271" s="13">
        <v>137.0</v>
      </c>
      <c r="C1271" s="13" t="s">
        <v>736</v>
      </c>
      <c r="D1271" s="13" t="s">
        <v>457</v>
      </c>
      <c r="E1271" s="13" t="str">
        <f>IFERROR(VLOOKUP($D1271,Insumos!$B:$U,D$1,0),"")</f>
        <v>Grs</v>
      </c>
      <c r="F1271" s="70">
        <v>140.0</v>
      </c>
      <c r="G1271" s="93">
        <f>IFERROR(VLOOKUP($D1271,Insumos!$B:$U,G$1,0)/VLOOKUP($D1271,Insumos!$B:$U,F$1,0),"")</f>
        <v>10.5</v>
      </c>
      <c r="H1271" s="70">
        <f t="shared" si="450"/>
        <v>1470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2.75" customHeight="1">
      <c r="A1272" s="2"/>
      <c r="B1272" s="13">
        <f t="shared" ref="B1272:B1277" si="492">IF($D1271="","",B1271)</f>
        <v>137</v>
      </c>
      <c r="C1272" s="13" t="str">
        <f t="shared" ref="C1272:C1277" si="493">IF($D1272="","",C1271)</f>
        <v>cookies de avena y coco </v>
      </c>
      <c r="D1272" s="13" t="s">
        <v>489</v>
      </c>
      <c r="E1272" s="13" t="str">
        <f>IFERROR(VLOOKUP($D1272,Insumos!$B:$U,D$1,0),"")</f>
        <v>Grs</v>
      </c>
      <c r="F1272" s="70">
        <v>70.0</v>
      </c>
      <c r="G1272" s="93">
        <f>IFERROR(VLOOKUP($D1272,Insumos!$B:$U,G$1,0)/VLOOKUP($D1272,Insumos!$B:$U,F$1,0),"")</f>
        <v>0.82</v>
      </c>
      <c r="H1272" s="70">
        <f t="shared" si="450"/>
        <v>57.4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2.75" customHeight="1">
      <c r="A1273" s="2"/>
      <c r="B1273" s="13">
        <f t="shared" si="492"/>
        <v>137</v>
      </c>
      <c r="C1273" s="13" t="str">
        <f t="shared" si="493"/>
        <v>cookies de avena y coco </v>
      </c>
      <c r="D1273" s="13" t="s">
        <v>557</v>
      </c>
      <c r="E1273" s="13" t="str">
        <f>IFERROR(VLOOKUP($D1273,Insumos!$B:$U,D$1,0),"")</f>
        <v>Grs</v>
      </c>
      <c r="F1273" s="70">
        <v>140.0</v>
      </c>
      <c r="G1273" s="93">
        <f>IFERROR(VLOOKUP($D1273,Insumos!$B:$U,G$1,0)/VLOOKUP($D1273,Insumos!$B:$U,F$1,0),"")</f>
        <v>0.325</v>
      </c>
      <c r="H1273" s="70">
        <f t="shared" si="450"/>
        <v>45.5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2.75" customHeight="1">
      <c r="A1274" s="2"/>
      <c r="B1274" s="13">
        <f t="shared" si="492"/>
        <v>137</v>
      </c>
      <c r="C1274" s="13" t="str">
        <f t="shared" si="493"/>
        <v>cookies de avena y coco </v>
      </c>
      <c r="D1274" s="13" t="s">
        <v>492</v>
      </c>
      <c r="E1274" s="13" t="str">
        <f>IFERROR(VLOOKUP($D1274,Insumos!$B:$U,D$1,0),"")</f>
        <v>Unidad</v>
      </c>
      <c r="F1274" s="70">
        <v>1.0</v>
      </c>
      <c r="G1274" s="93">
        <f>IFERROR(VLOOKUP($D1274,Insumos!$B:$U,G$1,0)/VLOOKUP($D1274,Insumos!$B:$U,F$1,0),"")</f>
        <v>166.6666667</v>
      </c>
      <c r="H1274" s="70">
        <f t="shared" si="450"/>
        <v>166.6666667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2.75" customHeight="1">
      <c r="A1275" s="2"/>
      <c r="B1275" s="13">
        <f t="shared" si="492"/>
        <v>137</v>
      </c>
      <c r="C1275" s="13" t="str">
        <f t="shared" si="493"/>
        <v>cookies de avena y coco </v>
      </c>
      <c r="D1275" s="13" t="s">
        <v>388</v>
      </c>
      <c r="E1275" s="13" t="str">
        <f>IFERROR(VLOOKUP($D1275,Insumos!$B:$U,D$1,0),"")</f>
        <v>Cm3</v>
      </c>
      <c r="F1275" s="70">
        <v>100.0</v>
      </c>
      <c r="G1275" s="93">
        <f>IFERROR(VLOOKUP($D1275,Insumos!$B:$U,G$1,0)/VLOOKUP($D1275,Insumos!$B:$U,F$1,0),"")</f>
        <v>1.285714286</v>
      </c>
      <c r="H1275" s="70">
        <f t="shared" si="450"/>
        <v>128.5714286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2.75" customHeight="1">
      <c r="A1276" s="2"/>
      <c r="B1276" s="13">
        <f t="shared" si="492"/>
        <v>137</v>
      </c>
      <c r="C1276" s="13" t="str">
        <f t="shared" si="493"/>
        <v>cookies de avena y coco </v>
      </c>
      <c r="D1276" s="13" t="s">
        <v>395</v>
      </c>
      <c r="E1276" s="13" t="str">
        <f>IFERROR(VLOOKUP($D1276,Insumos!$B:$U,D$1,0),"")</f>
        <v>Grs</v>
      </c>
      <c r="F1276" s="70">
        <v>70.0</v>
      </c>
      <c r="G1276" s="93">
        <f>IFERROR(VLOOKUP($D1276,Insumos!$B:$U,G$1,0)/VLOOKUP($D1276,Insumos!$B:$U,F$1,0),"")</f>
        <v>1.4</v>
      </c>
      <c r="H1276" s="70">
        <f t="shared" si="450"/>
        <v>98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2.75" customHeight="1">
      <c r="A1277" s="2"/>
      <c r="B1277" s="116">
        <f t="shared" si="492"/>
        <v>137</v>
      </c>
      <c r="C1277" s="116" t="str">
        <f t="shared" si="493"/>
        <v>cookies de avena y coco </v>
      </c>
      <c r="D1277" s="116" t="s">
        <v>516</v>
      </c>
      <c r="E1277" s="116" t="str">
        <f>IFERROR(VLOOKUP($D1277,Insumos!$B:$U,D$1,0),"")</f>
        <v>Grs</v>
      </c>
      <c r="F1277" s="117">
        <v>55.0</v>
      </c>
      <c r="G1277" s="117">
        <f>IFERROR(VLOOKUP($D1277,Insumos!$B:$U,G$1,0)/VLOOKUP($D1277,Insumos!$B:$U,F$1,0),"")</f>
        <v>19</v>
      </c>
      <c r="H1277" s="117">
        <f t="shared" si="450"/>
        <v>1045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2.75" customHeight="1">
      <c r="A1278" s="2"/>
      <c r="B1278" s="13">
        <v>138.0</v>
      </c>
      <c r="C1278" s="116" t="s">
        <v>737</v>
      </c>
      <c r="D1278" s="13" t="s">
        <v>558</v>
      </c>
      <c r="E1278" s="13" t="str">
        <f>IFERROR(VLOOKUP($D1278,Insumos!$B:$U,D$1,0),"")</f>
        <v>Grs</v>
      </c>
      <c r="F1278" s="70">
        <v>800.0</v>
      </c>
      <c r="G1278" s="93">
        <f>IFERROR(VLOOKUP($D1278,Insumos!$B:$U,G$1,0)/VLOOKUP($D1278,Insumos!$B:$U,F$1,0),"")</f>
        <v>11.25</v>
      </c>
      <c r="H1278" s="70">
        <f t="shared" si="450"/>
        <v>9000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2.75" customHeight="1">
      <c r="A1279" s="2"/>
      <c r="B1279" s="13">
        <v>138.0</v>
      </c>
      <c r="C1279" s="116" t="str">
        <f t="shared" ref="C1279:C1286" si="494">IF($D1279="","",C1278)</f>
        <v>key lime Pie </v>
      </c>
      <c r="D1279" s="13" t="s">
        <v>559</v>
      </c>
      <c r="E1279" s="13" t="str">
        <f>IFERROR(VLOOKUP($D1279,Insumos!$B:$U,D$1,0),"")</f>
        <v>Grs</v>
      </c>
      <c r="F1279" s="70">
        <v>500.0</v>
      </c>
      <c r="G1279" s="93">
        <f>IFERROR(VLOOKUP($D1279,Insumos!$B:$U,G$1,0)/VLOOKUP($D1279,Insumos!$B:$U,F$1,0),"")</f>
        <v>5</v>
      </c>
      <c r="H1279" s="70">
        <f t="shared" si="450"/>
        <v>2500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2.75" customHeight="1">
      <c r="A1280" s="2"/>
      <c r="B1280" s="13"/>
      <c r="C1280" s="116" t="str">
        <f t="shared" si="494"/>
        <v>key lime Pie </v>
      </c>
      <c r="D1280" s="13" t="s">
        <v>492</v>
      </c>
      <c r="E1280" s="13" t="s">
        <v>385</v>
      </c>
      <c r="F1280" s="70">
        <v>5.0</v>
      </c>
      <c r="G1280" s="93">
        <f>IFERROR(VLOOKUP($D1280,Insumos!$B:$U,G$1,0)/VLOOKUP($D1280,Insumos!$B:$U,F$1,0),"")</f>
        <v>166.6666667</v>
      </c>
      <c r="H1280" s="70">
        <f t="shared" si="450"/>
        <v>833.3333333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2.75" customHeight="1">
      <c r="A1281" s="2"/>
      <c r="B1281" s="13"/>
      <c r="C1281" s="116" t="str">
        <f t="shared" si="494"/>
        <v>key lime Pie </v>
      </c>
      <c r="D1281" s="13" t="s">
        <v>481</v>
      </c>
      <c r="E1281" s="13" t="s">
        <v>392</v>
      </c>
      <c r="F1281" s="70">
        <v>350.0</v>
      </c>
      <c r="G1281" s="93">
        <f>IFERROR(VLOOKUP($D1281,Insumos!$B:$U,G$1,0)/VLOOKUP($D1281,Insumos!$B:$U,F$1,0),"")</f>
        <v>10.45751634</v>
      </c>
      <c r="H1281" s="70">
        <f t="shared" si="450"/>
        <v>3660.130719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2.75" customHeight="1">
      <c r="A1282" s="2"/>
      <c r="B1282" s="13"/>
      <c r="C1282" s="116" t="str">
        <f t="shared" si="494"/>
        <v>key lime Pie </v>
      </c>
      <c r="D1282" s="13" t="s">
        <v>505</v>
      </c>
      <c r="E1282" s="13" t="s">
        <v>392</v>
      </c>
      <c r="F1282" s="70">
        <v>160.0</v>
      </c>
      <c r="G1282" s="93">
        <f>IFERROR(VLOOKUP($D1282,Insumos!$B:$U,G$1,0)/VLOOKUP($D1282,Insumos!$B:$U,F$1,0),"")</f>
        <v>11</v>
      </c>
      <c r="H1282" s="70">
        <f t="shared" si="450"/>
        <v>1760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2.75" customHeight="1">
      <c r="A1283" s="2"/>
      <c r="B1283" s="13"/>
      <c r="C1283" s="116" t="str">
        <f t="shared" si="494"/>
        <v>key lime Pie </v>
      </c>
      <c r="D1283" s="13" t="s">
        <v>426</v>
      </c>
      <c r="E1283" s="13" t="s">
        <v>385</v>
      </c>
      <c r="F1283" s="70">
        <v>1.0</v>
      </c>
      <c r="G1283" s="93">
        <f>IFERROR(VLOOKUP($D1283,Insumos!$B:$U,G$1,0)/VLOOKUP($D1283,Insumos!$B:$U,F$1,0),"")</f>
        <v>975</v>
      </c>
      <c r="H1283" s="70">
        <f t="shared" si="450"/>
        <v>975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2.75" customHeight="1">
      <c r="A1284" s="2"/>
      <c r="B1284" s="13"/>
      <c r="C1284" s="116" t="str">
        <f t="shared" si="494"/>
        <v>key lime Pie </v>
      </c>
      <c r="D1284" s="13" t="s">
        <v>401</v>
      </c>
      <c r="E1284" s="13" t="s">
        <v>738</v>
      </c>
      <c r="F1284" s="70">
        <v>1.0</v>
      </c>
      <c r="G1284" s="93">
        <f>IFERROR(VLOOKUP($D1284,Insumos!$B:$U,G$1,0)/VLOOKUP($D1284,Insumos!$B:$U,F$1,0),"")</f>
        <v>1300</v>
      </c>
      <c r="H1284" s="70">
        <f t="shared" si="450"/>
        <v>1300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24.75" customHeight="1">
      <c r="B1285" s="81">
        <f>IF($D1278="","",B1278)</f>
        <v>138</v>
      </c>
      <c r="C1285" s="116" t="str">
        <f t="shared" si="494"/>
        <v>key lime Pie </v>
      </c>
      <c r="D1285" s="81">
        <v>1.0</v>
      </c>
      <c r="E1285" s="81" t="str">
        <f>IFERROR(VLOOKUP($D1285,Insumos!$B:$U,D$1,0),"")</f>
        <v/>
      </c>
      <c r="F1285" s="82"/>
      <c r="G1285" s="114" t="str">
        <f>IFERROR(VLOOKUP($D1285,Insumos!$B:$U,G$1,0)/VLOOKUP($D1285,Insumos!$B:$U,F$1,0),"")</f>
        <v/>
      </c>
      <c r="H1285" s="82">
        <f t="shared" si="450"/>
        <v>0</v>
      </c>
    </row>
    <row r="1286">
      <c r="C1286" s="116" t="str">
        <f t="shared" si="494"/>
        <v/>
      </c>
      <c r="G1286" s="124"/>
    </row>
    <row r="1287">
      <c r="G1287" s="124"/>
    </row>
    <row r="1288">
      <c r="G1288" s="124"/>
    </row>
    <row r="1289">
      <c r="G1289" s="124"/>
    </row>
    <row r="1290">
      <c r="G1290" s="124"/>
    </row>
    <row r="1291">
      <c r="G1291" s="124"/>
    </row>
    <row r="1292">
      <c r="G1292" s="124"/>
    </row>
    <row r="1293">
      <c r="G1293" s="124"/>
    </row>
    <row r="1294">
      <c r="G1294" s="124"/>
    </row>
    <row r="1295">
      <c r="G1295" s="124"/>
    </row>
    <row r="1296">
      <c r="G1296" s="124"/>
    </row>
    <row r="1297">
      <c r="G1297" s="124"/>
    </row>
    <row r="1298">
      <c r="G1298" s="124"/>
    </row>
    <row r="1299">
      <c r="G1299" s="124"/>
    </row>
    <row r="1300">
      <c r="G1300" s="124"/>
    </row>
    <row r="1301">
      <c r="G1301" s="124"/>
    </row>
    <row r="1302">
      <c r="G1302" s="124"/>
    </row>
    <row r="1303">
      <c r="G1303" s="124"/>
    </row>
    <row r="1304">
      <c r="G1304" s="124"/>
    </row>
    <row r="1305">
      <c r="G1305" s="124"/>
    </row>
    <row r="1306">
      <c r="G1306" s="124"/>
    </row>
    <row r="1307">
      <c r="G1307" s="124"/>
    </row>
    <row r="1308">
      <c r="G1308" s="124"/>
    </row>
    <row r="1309">
      <c r="G1309" s="124"/>
    </row>
    <row r="1310">
      <c r="G1310" s="124"/>
    </row>
    <row r="1311">
      <c r="G1311" s="124"/>
    </row>
    <row r="1312">
      <c r="G1312" s="124"/>
    </row>
    <row r="1313">
      <c r="G1313" s="124"/>
    </row>
    <row r="1314">
      <c r="G1314" s="124"/>
    </row>
    <row r="1315">
      <c r="G1315" s="124"/>
    </row>
    <row r="1316">
      <c r="G1316" s="124"/>
    </row>
    <row r="1317">
      <c r="G1317" s="124"/>
    </row>
    <row r="1318">
      <c r="G1318" s="124"/>
    </row>
    <row r="1319">
      <c r="G1319" s="124"/>
    </row>
    <row r="1320">
      <c r="G1320" s="124"/>
    </row>
    <row r="1321">
      <c r="G1321" s="124"/>
    </row>
    <row r="1322">
      <c r="G1322" s="124"/>
    </row>
    <row r="1323">
      <c r="G1323" s="124"/>
    </row>
    <row r="1324">
      <c r="G1324" s="124"/>
    </row>
    <row r="1325">
      <c r="G1325" s="124"/>
    </row>
    <row r="1326">
      <c r="G1326" s="124"/>
    </row>
    <row r="1327">
      <c r="G1327" s="124"/>
    </row>
    <row r="1328">
      <c r="G1328" s="124"/>
    </row>
    <row r="1329">
      <c r="G1329" s="124"/>
    </row>
    <row r="1330">
      <c r="G1330" s="124"/>
    </row>
    <row r="1331">
      <c r="G1331" s="124"/>
    </row>
    <row r="1332">
      <c r="G1332" s="124"/>
    </row>
    <row r="1333">
      <c r="G1333" s="124"/>
    </row>
    <row r="1334">
      <c r="G1334" s="124"/>
    </row>
    <row r="1335">
      <c r="G1335" s="124"/>
    </row>
    <row r="1336">
      <c r="G1336" s="124"/>
    </row>
    <row r="1337">
      <c r="G1337" s="124"/>
    </row>
    <row r="1338">
      <c r="G1338" s="124"/>
    </row>
    <row r="1339">
      <c r="G1339" s="124"/>
    </row>
    <row r="1340">
      <c r="G1340" s="124"/>
    </row>
    <row r="1341">
      <c r="G1341" s="124"/>
    </row>
    <row r="1342">
      <c r="G1342" s="124"/>
    </row>
    <row r="1343">
      <c r="G1343" s="124"/>
    </row>
    <row r="1344">
      <c r="G1344" s="124"/>
    </row>
    <row r="1345">
      <c r="G1345" s="124"/>
    </row>
    <row r="1346">
      <c r="G1346" s="124"/>
    </row>
    <row r="1347">
      <c r="G1347" s="124"/>
    </row>
    <row r="1348">
      <c r="G1348" s="124"/>
    </row>
    <row r="1349">
      <c r="G1349" s="124"/>
    </row>
    <row r="1350">
      <c r="G1350" s="124"/>
    </row>
    <row r="1351">
      <c r="G1351" s="124"/>
    </row>
    <row r="1352">
      <c r="G1352" s="124"/>
    </row>
    <row r="1353">
      <c r="G1353" s="124"/>
    </row>
    <row r="1354">
      <c r="G1354" s="124"/>
    </row>
    <row r="1355">
      <c r="G1355" s="124"/>
    </row>
    <row r="1356">
      <c r="G1356" s="124"/>
    </row>
    <row r="1357">
      <c r="G1357" s="124"/>
    </row>
    <row r="1358">
      <c r="G1358" s="124"/>
    </row>
    <row r="1359">
      <c r="G1359" s="124"/>
    </row>
    <row r="1360">
      <c r="G1360" s="124"/>
    </row>
    <row r="1361">
      <c r="G1361" s="124"/>
    </row>
    <row r="1362">
      <c r="G1362" s="124"/>
    </row>
    <row r="1363">
      <c r="G1363" s="124"/>
    </row>
    <row r="1364">
      <c r="G1364" s="124"/>
    </row>
    <row r="1365">
      <c r="G1365" s="124"/>
    </row>
    <row r="1366">
      <c r="G1366" s="124"/>
    </row>
    <row r="1367">
      <c r="G1367" s="124"/>
    </row>
    <row r="1368">
      <c r="G1368" s="124"/>
    </row>
    <row r="1369">
      <c r="G1369" s="124"/>
    </row>
    <row r="1370">
      <c r="G1370" s="124"/>
    </row>
    <row r="1371">
      <c r="G1371" s="124"/>
    </row>
    <row r="1372">
      <c r="G1372" s="124"/>
    </row>
    <row r="1373">
      <c r="G1373" s="124"/>
    </row>
    <row r="1374">
      <c r="G1374" s="124"/>
    </row>
    <row r="1375">
      <c r="G1375" s="124"/>
    </row>
    <row r="1376">
      <c r="G1376" s="124"/>
    </row>
    <row r="1377">
      <c r="G1377" s="124"/>
    </row>
    <row r="1378">
      <c r="G1378" s="124"/>
    </row>
    <row r="1379">
      <c r="G1379" s="124"/>
    </row>
    <row r="1380">
      <c r="G1380" s="124"/>
    </row>
    <row r="1381">
      <c r="G1381" s="124"/>
    </row>
    <row r="1382">
      <c r="G1382" s="124"/>
    </row>
    <row r="1383">
      <c r="G1383" s="124"/>
    </row>
    <row r="1384">
      <c r="G1384" s="124"/>
    </row>
    <row r="1385">
      <c r="G1385" s="124"/>
    </row>
    <row r="1386">
      <c r="G1386" s="124"/>
    </row>
    <row r="1387">
      <c r="G1387" s="124"/>
    </row>
    <row r="1388">
      <c r="G1388" s="124"/>
    </row>
    <row r="1389">
      <c r="G1389" s="124"/>
    </row>
    <row r="1390">
      <c r="G1390" s="124"/>
    </row>
    <row r="1391">
      <c r="G1391" s="124"/>
    </row>
    <row r="1392">
      <c r="G1392" s="124"/>
    </row>
    <row r="1393">
      <c r="G1393" s="124"/>
    </row>
    <row r="1394">
      <c r="G1394" s="124"/>
    </row>
    <row r="1395">
      <c r="G1395" s="124"/>
    </row>
    <row r="1396">
      <c r="G1396" s="124"/>
    </row>
    <row r="1397">
      <c r="G1397" s="124"/>
    </row>
    <row r="1398">
      <c r="G1398" s="124"/>
    </row>
    <row r="1399">
      <c r="G1399" s="124"/>
    </row>
    <row r="1400">
      <c r="G1400" s="124"/>
    </row>
    <row r="1401">
      <c r="G1401" s="124"/>
    </row>
    <row r="1402">
      <c r="G1402" s="124"/>
    </row>
    <row r="1403">
      <c r="G1403" s="124"/>
    </row>
    <row r="1404">
      <c r="G1404" s="124"/>
    </row>
    <row r="1405">
      <c r="G1405" s="124"/>
    </row>
    <row r="1406">
      <c r="G1406" s="124"/>
    </row>
    <row r="1407">
      <c r="G1407" s="124"/>
    </row>
    <row r="1408">
      <c r="G1408" s="124"/>
    </row>
    <row r="1409">
      <c r="G1409" s="124"/>
    </row>
    <row r="1410">
      <c r="G1410" s="124"/>
    </row>
    <row r="1411">
      <c r="G1411" s="124"/>
    </row>
    <row r="1412">
      <c r="G1412" s="124"/>
    </row>
    <row r="1413">
      <c r="G1413" s="124"/>
    </row>
    <row r="1414">
      <c r="G1414" s="124"/>
    </row>
    <row r="1415">
      <c r="G1415" s="124"/>
    </row>
    <row r="1416">
      <c r="G1416" s="124"/>
    </row>
    <row r="1417">
      <c r="G1417" s="124"/>
    </row>
    <row r="1418">
      <c r="G1418" s="124"/>
    </row>
    <row r="1419">
      <c r="G1419" s="124"/>
    </row>
    <row r="1420">
      <c r="G1420" s="124"/>
    </row>
    <row r="1421">
      <c r="G1421" s="124"/>
    </row>
    <row r="1422">
      <c r="G1422" s="124"/>
    </row>
    <row r="1423">
      <c r="G1423" s="124"/>
    </row>
    <row r="1424">
      <c r="G1424" s="124"/>
    </row>
    <row r="1425">
      <c r="G1425" s="124"/>
    </row>
    <row r="1426">
      <c r="G1426" s="124"/>
    </row>
    <row r="1427">
      <c r="G1427" s="124"/>
    </row>
    <row r="1428">
      <c r="G1428" s="124"/>
    </row>
    <row r="1429">
      <c r="G1429" s="124"/>
    </row>
    <row r="1430">
      <c r="G1430" s="124"/>
    </row>
    <row r="1431">
      <c r="G1431" s="124"/>
    </row>
    <row r="1432">
      <c r="G1432" s="124"/>
    </row>
    <row r="1433">
      <c r="G1433" s="124"/>
    </row>
    <row r="1434">
      <c r="G1434" s="124"/>
    </row>
    <row r="1435">
      <c r="G1435" s="124"/>
    </row>
    <row r="1436">
      <c r="G1436" s="124"/>
    </row>
    <row r="1437">
      <c r="G1437" s="124"/>
    </row>
    <row r="1438">
      <c r="G1438" s="124"/>
    </row>
    <row r="1439">
      <c r="G1439" s="124"/>
    </row>
    <row r="1440">
      <c r="G1440" s="124"/>
    </row>
    <row r="1441">
      <c r="G1441" s="124"/>
    </row>
    <row r="1442">
      <c r="G1442" s="124"/>
    </row>
    <row r="1443">
      <c r="G1443" s="124"/>
    </row>
    <row r="1444">
      <c r="G1444" s="124"/>
    </row>
    <row r="1445">
      <c r="G1445" s="124"/>
    </row>
    <row r="1446">
      <c r="G1446" s="124"/>
    </row>
    <row r="1447">
      <c r="G1447" s="124"/>
    </row>
    <row r="1448">
      <c r="G1448" s="124"/>
    </row>
    <row r="1449">
      <c r="G1449" s="124"/>
    </row>
    <row r="1450">
      <c r="G1450" s="124"/>
    </row>
    <row r="1451">
      <c r="G1451" s="124"/>
    </row>
    <row r="1452">
      <c r="G1452" s="124"/>
    </row>
    <row r="1453">
      <c r="G1453" s="124"/>
    </row>
    <row r="1454">
      <c r="G1454" s="124"/>
    </row>
    <row r="1455">
      <c r="G1455" s="124"/>
    </row>
    <row r="1456">
      <c r="G1456" s="124"/>
    </row>
    <row r="1457">
      <c r="G1457" s="124"/>
    </row>
    <row r="1458">
      <c r="G1458" s="124"/>
    </row>
    <row r="1459">
      <c r="G1459" s="124"/>
    </row>
    <row r="1460">
      <c r="G1460" s="124"/>
    </row>
    <row r="1461">
      <c r="G1461" s="124"/>
    </row>
    <row r="1462">
      <c r="G1462" s="124"/>
    </row>
    <row r="1463">
      <c r="G1463" s="124"/>
    </row>
    <row r="1464">
      <c r="G1464" s="124"/>
    </row>
    <row r="1465">
      <c r="G1465" s="124"/>
    </row>
    <row r="1466">
      <c r="G1466" s="124"/>
    </row>
    <row r="1467">
      <c r="G1467" s="124"/>
    </row>
    <row r="1468">
      <c r="G1468" s="124"/>
    </row>
    <row r="1469">
      <c r="G1469" s="124"/>
    </row>
    <row r="1470">
      <c r="G1470" s="124"/>
    </row>
    <row r="1471">
      <c r="G1471" s="124"/>
    </row>
    <row r="1472">
      <c r="G1472" s="124"/>
    </row>
    <row r="1473">
      <c r="G1473" s="124"/>
    </row>
    <row r="1474">
      <c r="G1474" s="124"/>
    </row>
    <row r="1475">
      <c r="G1475" s="124"/>
    </row>
    <row r="1476">
      <c r="G1476" s="124"/>
    </row>
    <row r="1477">
      <c r="G1477" s="124"/>
    </row>
    <row r="1478">
      <c r="G1478" s="124"/>
    </row>
    <row r="1479">
      <c r="G1479" s="124"/>
    </row>
    <row r="1480">
      <c r="G1480" s="124"/>
    </row>
    <row r="1481">
      <c r="G1481" s="124"/>
    </row>
    <row r="1482">
      <c r="G1482" s="124"/>
    </row>
    <row r="1483">
      <c r="G1483" s="124"/>
    </row>
    <row r="1484">
      <c r="G1484" s="124"/>
    </row>
    <row r="1485">
      <c r="G1485" s="124"/>
    </row>
    <row r="1486">
      <c r="G1486" s="124"/>
    </row>
    <row r="1487">
      <c r="G1487" s="124"/>
    </row>
    <row r="1488">
      <c r="G1488" s="124"/>
    </row>
    <row r="1489">
      <c r="G1489" s="124"/>
    </row>
    <row r="1490">
      <c r="G1490" s="124"/>
    </row>
    <row r="1491">
      <c r="G1491" s="124"/>
    </row>
    <row r="1492">
      <c r="G1492" s="124"/>
    </row>
    <row r="1493">
      <c r="G1493" s="124"/>
    </row>
    <row r="1494">
      <c r="G1494" s="124"/>
    </row>
    <row r="1495">
      <c r="G1495" s="124"/>
    </row>
    <row r="1496">
      <c r="G1496" s="124"/>
    </row>
    <row r="1497">
      <c r="G1497" s="124"/>
    </row>
    <row r="1498">
      <c r="G1498" s="124"/>
    </row>
    <row r="1499">
      <c r="G1499" s="124"/>
    </row>
    <row r="1500">
      <c r="G1500" s="124"/>
    </row>
    <row r="1501">
      <c r="G1501" s="124"/>
    </row>
    <row r="1502">
      <c r="G1502" s="124"/>
    </row>
    <row r="1503">
      <c r="G1503" s="124"/>
    </row>
    <row r="1504">
      <c r="G1504" s="124"/>
    </row>
    <row r="1505">
      <c r="G1505" s="124"/>
    </row>
    <row r="1506">
      <c r="G1506" s="124"/>
    </row>
    <row r="1507">
      <c r="G1507" s="124"/>
    </row>
    <row r="1508">
      <c r="G1508" s="124"/>
    </row>
    <row r="1509">
      <c r="G1509" s="124"/>
    </row>
    <row r="1510">
      <c r="G1510" s="124"/>
    </row>
    <row r="1511">
      <c r="G1511" s="124"/>
    </row>
    <row r="1512">
      <c r="G1512" s="124"/>
    </row>
    <row r="1513">
      <c r="G1513" s="124"/>
    </row>
    <row r="1514">
      <c r="G1514" s="124"/>
    </row>
    <row r="1515">
      <c r="G1515" s="124"/>
    </row>
    <row r="1516">
      <c r="G1516" s="124"/>
    </row>
    <row r="1517">
      <c r="G1517" s="124"/>
    </row>
    <row r="1518">
      <c r="G1518" s="124"/>
    </row>
    <row r="1519">
      <c r="G1519" s="124"/>
    </row>
    <row r="1520">
      <c r="G1520" s="124"/>
    </row>
    <row r="1521">
      <c r="G1521" s="124"/>
    </row>
    <row r="1522">
      <c r="G1522" s="124"/>
    </row>
    <row r="1523">
      <c r="G1523" s="124"/>
    </row>
    <row r="1524">
      <c r="G1524" s="124"/>
    </row>
    <row r="1525">
      <c r="G1525" s="124"/>
    </row>
    <row r="1526">
      <c r="G1526" s="124"/>
    </row>
    <row r="1527">
      <c r="G1527" s="124"/>
    </row>
    <row r="1528">
      <c r="G1528" s="124"/>
    </row>
    <row r="1529">
      <c r="G1529" s="124"/>
    </row>
    <row r="1530">
      <c r="G1530" s="124"/>
    </row>
    <row r="1531">
      <c r="G1531" s="124"/>
    </row>
    <row r="1532">
      <c r="G1532" s="124"/>
    </row>
    <row r="1533">
      <c r="G1533" s="124"/>
    </row>
    <row r="1534">
      <c r="G1534" s="124"/>
    </row>
    <row r="1535">
      <c r="G1535" s="124"/>
    </row>
    <row r="1536">
      <c r="G1536" s="124"/>
    </row>
    <row r="1537">
      <c r="G1537" s="124"/>
    </row>
    <row r="1538">
      <c r="G1538" s="124"/>
    </row>
    <row r="1539">
      <c r="G1539" s="124"/>
    </row>
    <row r="1540">
      <c r="G1540" s="124"/>
    </row>
    <row r="1541">
      <c r="G1541" s="124"/>
    </row>
    <row r="1542">
      <c r="G1542" s="124"/>
    </row>
    <row r="1543">
      <c r="G1543" s="124"/>
    </row>
    <row r="1544">
      <c r="G1544" s="124"/>
    </row>
    <row r="1545">
      <c r="G1545" s="124"/>
    </row>
    <row r="1546">
      <c r="G1546" s="124"/>
    </row>
    <row r="1547">
      <c r="G1547" s="124"/>
    </row>
    <row r="1548">
      <c r="G1548" s="124"/>
    </row>
    <row r="1549">
      <c r="G1549" s="124"/>
    </row>
    <row r="1550">
      <c r="G1550" s="124"/>
    </row>
    <row r="1551">
      <c r="G1551" s="124"/>
    </row>
    <row r="1552">
      <c r="G1552" s="124"/>
    </row>
    <row r="1553">
      <c r="G1553" s="124"/>
    </row>
    <row r="1554">
      <c r="G1554" s="124"/>
    </row>
    <row r="1555">
      <c r="G1555" s="124"/>
    </row>
    <row r="1556">
      <c r="G1556" s="124"/>
    </row>
    <row r="1557">
      <c r="G1557" s="124"/>
    </row>
    <row r="1558">
      <c r="G1558" s="124"/>
    </row>
    <row r="1559">
      <c r="G1559" s="124"/>
    </row>
    <row r="1560">
      <c r="G1560" s="124"/>
    </row>
    <row r="1561">
      <c r="G1561" s="124"/>
    </row>
    <row r="1562">
      <c r="G1562" s="124"/>
    </row>
    <row r="1563">
      <c r="G1563" s="124"/>
    </row>
    <row r="1564">
      <c r="G1564" s="124"/>
    </row>
    <row r="1565">
      <c r="G1565" s="124"/>
    </row>
    <row r="1566">
      <c r="G1566" s="124"/>
    </row>
    <row r="1567">
      <c r="G1567" s="124"/>
    </row>
    <row r="1568">
      <c r="G1568" s="124"/>
    </row>
    <row r="1569">
      <c r="G1569" s="124"/>
    </row>
    <row r="1570">
      <c r="G1570" s="124"/>
    </row>
    <row r="1571">
      <c r="G1571" s="124"/>
    </row>
    <row r="1572">
      <c r="G1572" s="124"/>
    </row>
    <row r="1573">
      <c r="G1573" s="124"/>
    </row>
    <row r="1574">
      <c r="G1574" s="124"/>
    </row>
    <row r="1575">
      <c r="G1575" s="124"/>
    </row>
    <row r="1576">
      <c r="G1576" s="124"/>
    </row>
    <row r="1577">
      <c r="G1577" s="124"/>
    </row>
    <row r="1578">
      <c r="G1578" s="124"/>
    </row>
    <row r="1579">
      <c r="G1579" s="124"/>
    </row>
    <row r="1580">
      <c r="G1580" s="124"/>
    </row>
    <row r="1581">
      <c r="G1581" s="124"/>
    </row>
    <row r="1582">
      <c r="G1582" s="124"/>
    </row>
    <row r="1583">
      <c r="G1583" s="124"/>
    </row>
    <row r="1584">
      <c r="G1584" s="124"/>
    </row>
    <row r="1585">
      <c r="G1585" s="124"/>
    </row>
    <row r="1586">
      <c r="G1586" s="124"/>
    </row>
    <row r="1587">
      <c r="G1587" s="124"/>
    </row>
    <row r="1588">
      <c r="G1588" s="124"/>
    </row>
    <row r="1589">
      <c r="G1589" s="124"/>
    </row>
    <row r="1590">
      <c r="G1590" s="124"/>
    </row>
    <row r="1591">
      <c r="G1591" s="124"/>
    </row>
    <row r="1592">
      <c r="G1592" s="124"/>
    </row>
    <row r="1593">
      <c r="G1593" s="124"/>
    </row>
    <row r="1594">
      <c r="G1594" s="124"/>
    </row>
    <row r="1595">
      <c r="G1595" s="124"/>
    </row>
    <row r="1596">
      <c r="G1596" s="124"/>
    </row>
    <row r="1597">
      <c r="G1597" s="124"/>
    </row>
    <row r="1598">
      <c r="G1598" s="124"/>
    </row>
    <row r="1599">
      <c r="G1599" s="124"/>
    </row>
    <row r="1600">
      <c r="G1600" s="124"/>
    </row>
    <row r="1601">
      <c r="G1601" s="124"/>
    </row>
    <row r="1602">
      <c r="G1602" s="124"/>
    </row>
    <row r="1603">
      <c r="G1603" s="124"/>
    </row>
    <row r="1604">
      <c r="G1604" s="124"/>
    </row>
    <row r="1605">
      <c r="G1605" s="124"/>
    </row>
    <row r="1606">
      <c r="G1606" s="124"/>
    </row>
    <row r="1607">
      <c r="G1607" s="124"/>
    </row>
    <row r="1608">
      <c r="G1608" s="124"/>
    </row>
    <row r="1609">
      <c r="G1609" s="124"/>
    </row>
    <row r="1610">
      <c r="G1610" s="124"/>
    </row>
    <row r="1611">
      <c r="G1611" s="124"/>
    </row>
    <row r="1612">
      <c r="G1612" s="124"/>
    </row>
    <row r="1613">
      <c r="G1613" s="124"/>
    </row>
    <row r="1614">
      <c r="G1614" s="124"/>
    </row>
    <row r="1615">
      <c r="G1615" s="124"/>
    </row>
    <row r="1616">
      <c r="G1616" s="124"/>
    </row>
    <row r="1617">
      <c r="G1617" s="124"/>
    </row>
    <row r="1618">
      <c r="G1618" s="124"/>
    </row>
    <row r="1619">
      <c r="G1619" s="124"/>
    </row>
    <row r="1620">
      <c r="G1620" s="124"/>
    </row>
    <row r="1621">
      <c r="G1621" s="124"/>
    </row>
    <row r="1622">
      <c r="G1622" s="124"/>
    </row>
    <row r="1623">
      <c r="G1623" s="124"/>
    </row>
    <row r="1624">
      <c r="G1624" s="124"/>
    </row>
    <row r="1625">
      <c r="G1625" s="124"/>
    </row>
    <row r="1626">
      <c r="G1626" s="124"/>
    </row>
    <row r="1627">
      <c r="G1627" s="124"/>
    </row>
    <row r="1628">
      <c r="G1628" s="124"/>
    </row>
    <row r="1629">
      <c r="G1629" s="124"/>
    </row>
    <row r="1630">
      <c r="G1630" s="124"/>
    </row>
    <row r="1631">
      <c r="G1631" s="124"/>
    </row>
    <row r="1632">
      <c r="G1632" s="124"/>
    </row>
    <row r="1633">
      <c r="G1633" s="124"/>
    </row>
    <row r="1634">
      <c r="G1634" s="124"/>
    </row>
    <row r="1635">
      <c r="G1635" s="124"/>
    </row>
    <row r="1636">
      <c r="G1636" s="124"/>
    </row>
    <row r="1637">
      <c r="G1637" s="124"/>
    </row>
    <row r="1638">
      <c r="G1638" s="124"/>
    </row>
    <row r="1639">
      <c r="G1639" s="124"/>
    </row>
    <row r="1640">
      <c r="G1640" s="124"/>
    </row>
    <row r="1641">
      <c r="G1641" s="124"/>
    </row>
    <row r="1642">
      <c r="G1642" s="124"/>
    </row>
    <row r="1643">
      <c r="G1643" s="124"/>
    </row>
    <row r="1644">
      <c r="G1644" s="124"/>
    </row>
    <row r="1645">
      <c r="G1645" s="124"/>
    </row>
    <row r="1646">
      <c r="G1646" s="124"/>
    </row>
    <row r="1647">
      <c r="G1647" s="124"/>
    </row>
    <row r="1648">
      <c r="G1648" s="124"/>
    </row>
    <row r="1649">
      <c r="G1649" s="124"/>
    </row>
    <row r="1650">
      <c r="G1650" s="124"/>
    </row>
    <row r="1651">
      <c r="G1651" s="124"/>
    </row>
    <row r="1652">
      <c r="G1652" s="124"/>
    </row>
    <row r="1653">
      <c r="G1653" s="124"/>
    </row>
    <row r="1654">
      <c r="G1654" s="124"/>
    </row>
    <row r="1655">
      <c r="G1655" s="124"/>
    </row>
    <row r="1656">
      <c r="G1656" s="124"/>
    </row>
    <row r="1657">
      <c r="G1657" s="124"/>
    </row>
    <row r="1658">
      <c r="G1658" s="124"/>
    </row>
    <row r="1659">
      <c r="G1659" s="124"/>
    </row>
    <row r="1660">
      <c r="G1660" s="124"/>
    </row>
    <row r="1661">
      <c r="G1661" s="124"/>
    </row>
    <row r="1662">
      <c r="G1662" s="124"/>
    </row>
    <row r="1663">
      <c r="G1663" s="124"/>
    </row>
    <row r="1664">
      <c r="G1664" s="124"/>
    </row>
    <row r="1665">
      <c r="G1665" s="124"/>
    </row>
    <row r="1666">
      <c r="G1666" s="124"/>
    </row>
    <row r="1667">
      <c r="G1667" s="124"/>
    </row>
    <row r="1668">
      <c r="G1668" s="124"/>
    </row>
    <row r="1669">
      <c r="G1669" s="124"/>
    </row>
    <row r="1670">
      <c r="G1670" s="124"/>
    </row>
    <row r="1671">
      <c r="G1671" s="124"/>
    </row>
    <row r="1672">
      <c r="G1672" s="124"/>
    </row>
    <row r="1673">
      <c r="G1673" s="124"/>
    </row>
    <row r="1674">
      <c r="G1674" s="124"/>
    </row>
    <row r="1675">
      <c r="G1675" s="124"/>
    </row>
    <row r="1676">
      <c r="G1676" s="124"/>
    </row>
    <row r="1677">
      <c r="G1677" s="124"/>
    </row>
    <row r="1678">
      <c r="G1678" s="124"/>
    </row>
    <row r="1679">
      <c r="G1679" s="124"/>
    </row>
    <row r="1680">
      <c r="G1680" s="124"/>
    </row>
    <row r="1681">
      <c r="G1681" s="124"/>
    </row>
    <row r="1682">
      <c r="G1682" s="124"/>
    </row>
    <row r="1683">
      <c r="G1683" s="124"/>
    </row>
    <row r="1684">
      <c r="G1684" s="124"/>
    </row>
    <row r="1685">
      <c r="G1685" s="124"/>
    </row>
    <row r="1686">
      <c r="G1686" s="124"/>
    </row>
    <row r="1687">
      <c r="G1687" s="124"/>
    </row>
    <row r="1688">
      <c r="G1688" s="124"/>
    </row>
    <row r="1689">
      <c r="G1689" s="124"/>
    </row>
    <row r="1690">
      <c r="G1690" s="124"/>
    </row>
    <row r="1691">
      <c r="G1691" s="124"/>
    </row>
    <row r="1692">
      <c r="G1692" s="124"/>
    </row>
    <row r="1693">
      <c r="G1693" s="124"/>
    </row>
    <row r="1694">
      <c r="G1694" s="124"/>
    </row>
    <row r="1695">
      <c r="G1695" s="124"/>
    </row>
    <row r="1696">
      <c r="G1696" s="124"/>
    </row>
    <row r="1697">
      <c r="G1697" s="124"/>
    </row>
    <row r="1698">
      <c r="G1698" s="124"/>
    </row>
    <row r="1699">
      <c r="G1699" s="124"/>
    </row>
    <row r="1700">
      <c r="G1700" s="124"/>
    </row>
    <row r="1701">
      <c r="G1701" s="124"/>
    </row>
    <row r="1702">
      <c r="G1702" s="124"/>
    </row>
    <row r="1703">
      <c r="G1703" s="124"/>
    </row>
    <row r="1704">
      <c r="G1704" s="124"/>
    </row>
    <row r="1705">
      <c r="G1705" s="124"/>
    </row>
    <row r="1706">
      <c r="G1706" s="124"/>
    </row>
    <row r="1707">
      <c r="G1707" s="124"/>
    </row>
    <row r="1708">
      <c r="G1708" s="124"/>
    </row>
    <row r="1709">
      <c r="G1709" s="124"/>
    </row>
    <row r="1710">
      <c r="G1710" s="124"/>
    </row>
    <row r="1711">
      <c r="G1711" s="124"/>
    </row>
    <row r="1712">
      <c r="G1712" s="124"/>
    </row>
    <row r="1713">
      <c r="G1713" s="124"/>
    </row>
    <row r="1714">
      <c r="G1714" s="124"/>
    </row>
    <row r="1715">
      <c r="G1715" s="124"/>
    </row>
    <row r="1716">
      <c r="G1716" s="124"/>
    </row>
    <row r="1717">
      <c r="G1717" s="124"/>
    </row>
    <row r="1718">
      <c r="G1718" s="124"/>
    </row>
    <row r="1719">
      <c r="G1719" s="124"/>
    </row>
    <row r="1720">
      <c r="G1720" s="124"/>
    </row>
    <row r="1721">
      <c r="G1721" s="124"/>
    </row>
    <row r="1722">
      <c r="G1722" s="124"/>
    </row>
    <row r="1723">
      <c r="G1723" s="124"/>
    </row>
    <row r="1724">
      <c r="G1724" s="124"/>
    </row>
    <row r="1725">
      <c r="G1725" s="124"/>
    </row>
    <row r="1726">
      <c r="G1726" s="124"/>
    </row>
    <row r="1727">
      <c r="G1727" s="124"/>
    </row>
    <row r="1728">
      <c r="G1728" s="124"/>
    </row>
    <row r="1729">
      <c r="G1729" s="124"/>
    </row>
    <row r="1730">
      <c r="G1730" s="124"/>
    </row>
    <row r="1731">
      <c r="G1731" s="124"/>
    </row>
    <row r="1732">
      <c r="G1732" s="124"/>
    </row>
    <row r="1733">
      <c r="G1733" s="124"/>
    </row>
    <row r="1734">
      <c r="G1734" s="124"/>
    </row>
    <row r="1735">
      <c r="G1735" s="124"/>
    </row>
    <row r="1736">
      <c r="G1736" s="124"/>
    </row>
    <row r="1737">
      <c r="G1737" s="124"/>
    </row>
    <row r="1738">
      <c r="G1738" s="124"/>
    </row>
    <row r="1739">
      <c r="G1739" s="124"/>
    </row>
    <row r="1740">
      <c r="G1740" s="124"/>
    </row>
    <row r="1741">
      <c r="G1741" s="124"/>
    </row>
    <row r="1742">
      <c r="G1742" s="124"/>
    </row>
    <row r="1743">
      <c r="G1743" s="124"/>
    </row>
    <row r="1744">
      <c r="G1744" s="124"/>
    </row>
    <row r="1745">
      <c r="G1745" s="124"/>
    </row>
    <row r="1746">
      <c r="G1746" s="124"/>
    </row>
    <row r="1747">
      <c r="G1747" s="124"/>
    </row>
    <row r="1748">
      <c r="G1748" s="124"/>
    </row>
    <row r="1749">
      <c r="G1749" s="124"/>
    </row>
    <row r="1750">
      <c r="G1750" s="124"/>
    </row>
    <row r="1751">
      <c r="G1751" s="124"/>
    </row>
    <row r="1752">
      <c r="G1752" s="124"/>
    </row>
    <row r="1753">
      <c r="G1753" s="124"/>
    </row>
    <row r="1754">
      <c r="G1754" s="124"/>
    </row>
    <row r="1755">
      <c r="G1755" s="124"/>
    </row>
    <row r="1756">
      <c r="G1756" s="124"/>
    </row>
    <row r="1757">
      <c r="G1757" s="124"/>
    </row>
    <row r="1758">
      <c r="G1758" s="124"/>
    </row>
    <row r="1759">
      <c r="G1759" s="124"/>
    </row>
    <row r="1760">
      <c r="G1760" s="124"/>
    </row>
    <row r="1761">
      <c r="G1761" s="124"/>
    </row>
    <row r="1762">
      <c r="G1762" s="124"/>
    </row>
    <row r="1763">
      <c r="G1763" s="124"/>
    </row>
    <row r="1764">
      <c r="G1764" s="124"/>
    </row>
    <row r="1765">
      <c r="G1765" s="124"/>
    </row>
    <row r="1766">
      <c r="G1766" s="124"/>
    </row>
    <row r="1767">
      <c r="G1767" s="124"/>
    </row>
    <row r="1768">
      <c r="G1768" s="124"/>
    </row>
    <row r="1769">
      <c r="G1769" s="124"/>
    </row>
    <row r="1770">
      <c r="G1770" s="124"/>
    </row>
    <row r="1771">
      <c r="G1771" s="124"/>
    </row>
    <row r="1772">
      <c r="G1772" s="124"/>
    </row>
    <row r="1773">
      <c r="G1773" s="124"/>
    </row>
    <row r="1774">
      <c r="G1774" s="124"/>
    </row>
    <row r="1775">
      <c r="G1775" s="124"/>
    </row>
    <row r="1776">
      <c r="G1776" s="124"/>
    </row>
    <row r="1777">
      <c r="G1777" s="124"/>
    </row>
    <row r="1778">
      <c r="G1778" s="124"/>
    </row>
    <row r="1779">
      <c r="G1779" s="124"/>
    </row>
    <row r="1780">
      <c r="G1780" s="124"/>
    </row>
    <row r="1781">
      <c r="G1781" s="124"/>
    </row>
    <row r="1782">
      <c r="G1782" s="124"/>
    </row>
    <row r="1783">
      <c r="G1783" s="124"/>
    </row>
    <row r="1784">
      <c r="G1784" s="124"/>
    </row>
    <row r="1785">
      <c r="G1785" s="124"/>
    </row>
    <row r="1786">
      <c r="G1786" s="124"/>
    </row>
    <row r="1787">
      <c r="G1787" s="124"/>
    </row>
    <row r="1788">
      <c r="G1788" s="124"/>
    </row>
    <row r="1789">
      <c r="G1789" s="124"/>
    </row>
    <row r="1790">
      <c r="G1790" s="124"/>
    </row>
    <row r="1791">
      <c r="G1791" s="124"/>
    </row>
    <row r="1792">
      <c r="G1792" s="124"/>
    </row>
    <row r="1793">
      <c r="G1793" s="124"/>
    </row>
    <row r="1794">
      <c r="G1794" s="124"/>
    </row>
    <row r="1795">
      <c r="G1795" s="124"/>
    </row>
    <row r="1796">
      <c r="G1796" s="124"/>
    </row>
    <row r="1797">
      <c r="G1797" s="124"/>
    </row>
    <row r="1798">
      <c r="G1798" s="124"/>
    </row>
    <row r="1799">
      <c r="G1799" s="124"/>
    </row>
    <row r="1800">
      <c r="G1800" s="124"/>
    </row>
    <row r="1801">
      <c r="G1801" s="124"/>
    </row>
    <row r="1802">
      <c r="G1802" s="124"/>
    </row>
    <row r="1803">
      <c r="G1803" s="124"/>
    </row>
    <row r="1804">
      <c r="G1804" s="124"/>
    </row>
    <row r="1805">
      <c r="G1805" s="124"/>
    </row>
    <row r="1806">
      <c r="G1806" s="124"/>
    </row>
    <row r="1807">
      <c r="G1807" s="124"/>
    </row>
    <row r="1808">
      <c r="G1808" s="124"/>
    </row>
    <row r="1809">
      <c r="G1809" s="124"/>
    </row>
    <row r="1810">
      <c r="G1810" s="124"/>
    </row>
    <row r="1811">
      <c r="G1811" s="124"/>
    </row>
    <row r="1812">
      <c r="G1812" s="124"/>
    </row>
    <row r="1813">
      <c r="G1813" s="124"/>
    </row>
    <row r="1814">
      <c r="G1814" s="124"/>
    </row>
    <row r="1815">
      <c r="G1815" s="124"/>
    </row>
    <row r="1816">
      <c r="G1816" s="124"/>
    </row>
    <row r="1817">
      <c r="G1817" s="124"/>
    </row>
    <row r="1818">
      <c r="G1818" s="124"/>
    </row>
    <row r="1819">
      <c r="G1819" s="124"/>
    </row>
    <row r="1820">
      <c r="G1820" s="124"/>
    </row>
    <row r="1821">
      <c r="G1821" s="124"/>
    </row>
    <row r="1822">
      <c r="G1822" s="124"/>
    </row>
    <row r="1823">
      <c r="G1823" s="124"/>
    </row>
    <row r="1824">
      <c r="G1824" s="124"/>
    </row>
    <row r="1825">
      <c r="G1825" s="124"/>
    </row>
    <row r="1826">
      <c r="G1826" s="124"/>
    </row>
    <row r="1827">
      <c r="G1827" s="124"/>
    </row>
    <row r="1828">
      <c r="G1828" s="124"/>
    </row>
    <row r="1829">
      <c r="G1829" s="124"/>
    </row>
    <row r="1830">
      <c r="G1830" s="124"/>
    </row>
    <row r="1831">
      <c r="G1831" s="124"/>
    </row>
    <row r="1832">
      <c r="G1832" s="124"/>
    </row>
    <row r="1833">
      <c r="G1833" s="124"/>
    </row>
    <row r="1834">
      <c r="G1834" s="124"/>
    </row>
    <row r="1835">
      <c r="G1835" s="124"/>
    </row>
    <row r="1836">
      <c r="G1836" s="124"/>
    </row>
    <row r="1837">
      <c r="G1837" s="124"/>
    </row>
    <row r="1838">
      <c r="G1838" s="124"/>
    </row>
    <row r="1839">
      <c r="G1839" s="124"/>
    </row>
    <row r="1840">
      <c r="G1840" s="124"/>
    </row>
    <row r="1841">
      <c r="G1841" s="124"/>
    </row>
    <row r="1842">
      <c r="G1842" s="124"/>
    </row>
    <row r="1843">
      <c r="G1843" s="124"/>
    </row>
    <row r="1844">
      <c r="G1844" s="124"/>
    </row>
    <row r="1845">
      <c r="G1845" s="124"/>
    </row>
    <row r="1846">
      <c r="G1846" s="124"/>
    </row>
    <row r="1847">
      <c r="G1847" s="124"/>
    </row>
    <row r="1848">
      <c r="G1848" s="124"/>
    </row>
    <row r="1849">
      <c r="G1849" s="124"/>
    </row>
    <row r="1850">
      <c r="G1850" s="124"/>
    </row>
    <row r="1851">
      <c r="G1851" s="124"/>
    </row>
    <row r="1852">
      <c r="G1852" s="124"/>
    </row>
    <row r="1853">
      <c r="G1853" s="124"/>
    </row>
    <row r="1854">
      <c r="G1854" s="124"/>
    </row>
    <row r="1855">
      <c r="G1855" s="124"/>
    </row>
    <row r="1856">
      <c r="G1856" s="124"/>
    </row>
    <row r="1857">
      <c r="G1857" s="124"/>
    </row>
    <row r="1858">
      <c r="G1858" s="124"/>
    </row>
    <row r="1859">
      <c r="G1859" s="124"/>
    </row>
    <row r="1860">
      <c r="G1860" s="124"/>
    </row>
    <row r="1861">
      <c r="G1861" s="124"/>
    </row>
    <row r="1862">
      <c r="G1862" s="124"/>
    </row>
    <row r="1863">
      <c r="G1863" s="124"/>
    </row>
    <row r="1864">
      <c r="G1864" s="124"/>
    </row>
    <row r="1865">
      <c r="G1865" s="124"/>
    </row>
    <row r="1866">
      <c r="G1866" s="124"/>
    </row>
    <row r="1867">
      <c r="G1867" s="124"/>
    </row>
    <row r="1868">
      <c r="G1868" s="124"/>
    </row>
    <row r="1869">
      <c r="G1869" s="124"/>
    </row>
    <row r="1870">
      <c r="G1870" s="124"/>
    </row>
    <row r="1871">
      <c r="G1871" s="124"/>
    </row>
    <row r="1872">
      <c r="G1872" s="124"/>
    </row>
    <row r="1873">
      <c r="G1873" s="124"/>
    </row>
    <row r="1874">
      <c r="G1874" s="124"/>
    </row>
    <row r="1875">
      <c r="G1875" s="124"/>
    </row>
    <row r="1876">
      <c r="G1876" s="124"/>
    </row>
    <row r="1877">
      <c r="G1877" s="124"/>
    </row>
    <row r="1878">
      <c r="G1878" s="124"/>
    </row>
    <row r="1879">
      <c r="G1879" s="124"/>
    </row>
    <row r="1880">
      <c r="G1880" s="124"/>
    </row>
    <row r="1881">
      <c r="G1881" s="124"/>
    </row>
    <row r="1882">
      <c r="G1882" s="124"/>
    </row>
    <row r="1883">
      <c r="G1883" s="124"/>
    </row>
    <row r="1884">
      <c r="G1884" s="124"/>
    </row>
    <row r="1885">
      <c r="G1885" s="124"/>
    </row>
    <row r="1886">
      <c r="G1886" s="124"/>
    </row>
    <row r="1887">
      <c r="G1887" s="124"/>
    </row>
    <row r="1888">
      <c r="G1888" s="124"/>
    </row>
    <row r="1889">
      <c r="G1889" s="124"/>
    </row>
    <row r="1890">
      <c r="G1890" s="124"/>
    </row>
    <row r="1891">
      <c r="G1891" s="124"/>
    </row>
    <row r="1892">
      <c r="G1892" s="124"/>
    </row>
    <row r="1893">
      <c r="G1893" s="124"/>
    </row>
    <row r="1894">
      <c r="G1894" s="124"/>
    </row>
    <row r="1895">
      <c r="G1895" s="124"/>
    </row>
    <row r="1896">
      <c r="G1896" s="124"/>
    </row>
    <row r="1897">
      <c r="G1897" s="124"/>
    </row>
    <row r="1898">
      <c r="G1898" s="124"/>
    </row>
    <row r="1899">
      <c r="G1899" s="124"/>
    </row>
    <row r="1900">
      <c r="G1900" s="124"/>
    </row>
    <row r="1901">
      <c r="G1901" s="124"/>
    </row>
    <row r="1902">
      <c r="G1902" s="124"/>
    </row>
    <row r="1903">
      <c r="G1903" s="124"/>
    </row>
    <row r="1904">
      <c r="G1904" s="124"/>
    </row>
    <row r="1905">
      <c r="G1905" s="124"/>
    </row>
    <row r="1906">
      <c r="G1906" s="124"/>
    </row>
    <row r="1907">
      <c r="G1907" s="124"/>
    </row>
    <row r="1908">
      <c r="G1908" s="124"/>
    </row>
    <row r="1909">
      <c r="G1909" s="124"/>
    </row>
    <row r="1910">
      <c r="G1910" s="124"/>
    </row>
    <row r="1911">
      <c r="G1911" s="124"/>
    </row>
    <row r="1912">
      <c r="G1912" s="124"/>
    </row>
    <row r="1913">
      <c r="G1913" s="124"/>
    </row>
    <row r="1914">
      <c r="G1914" s="124"/>
    </row>
    <row r="1915">
      <c r="G1915" s="124"/>
    </row>
    <row r="1916">
      <c r="G1916" s="124"/>
    </row>
    <row r="1917">
      <c r="G1917" s="124"/>
    </row>
    <row r="1918">
      <c r="G1918" s="124"/>
    </row>
    <row r="1919">
      <c r="G1919" s="124"/>
    </row>
    <row r="1920">
      <c r="G1920" s="124"/>
    </row>
    <row r="1921">
      <c r="G1921" s="124"/>
    </row>
    <row r="1922">
      <c r="G1922" s="124"/>
    </row>
    <row r="1923">
      <c r="G1923" s="124"/>
    </row>
    <row r="1924">
      <c r="G1924" s="124"/>
    </row>
    <row r="1925">
      <c r="G1925" s="124"/>
    </row>
    <row r="1926">
      <c r="G1926" s="124"/>
    </row>
    <row r="1927">
      <c r="G1927" s="124"/>
    </row>
    <row r="1928">
      <c r="G1928" s="124"/>
    </row>
    <row r="1929">
      <c r="G1929" s="124"/>
    </row>
    <row r="1930">
      <c r="G1930" s="124"/>
    </row>
    <row r="1931">
      <c r="G1931" s="124"/>
    </row>
    <row r="1932">
      <c r="G1932" s="124"/>
    </row>
    <row r="1933">
      <c r="G1933" s="124"/>
    </row>
    <row r="1934">
      <c r="G1934" s="124"/>
    </row>
    <row r="1935">
      <c r="G1935" s="124"/>
    </row>
    <row r="1936">
      <c r="G1936" s="124"/>
    </row>
    <row r="1937">
      <c r="G1937" s="124"/>
    </row>
    <row r="1938">
      <c r="G1938" s="124"/>
    </row>
    <row r="1939">
      <c r="G1939" s="124"/>
    </row>
    <row r="1940">
      <c r="G1940" s="124"/>
    </row>
    <row r="1941">
      <c r="G1941" s="124"/>
    </row>
    <row r="1942">
      <c r="G1942" s="124"/>
    </row>
    <row r="1943">
      <c r="G1943" s="124"/>
    </row>
    <row r="1944">
      <c r="G1944" s="124"/>
    </row>
    <row r="1945">
      <c r="G1945" s="124"/>
    </row>
    <row r="1946">
      <c r="G1946" s="124"/>
    </row>
    <row r="1947">
      <c r="G1947" s="124"/>
    </row>
    <row r="1948">
      <c r="G1948" s="124"/>
    </row>
    <row r="1949">
      <c r="G1949" s="124"/>
    </row>
    <row r="1950">
      <c r="G1950" s="124"/>
    </row>
    <row r="1951">
      <c r="G1951" s="124"/>
    </row>
    <row r="1952">
      <c r="G1952" s="124"/>
    </row>
    <row r="1953">
      <c r="G1953" s="124"/>
    </row>
    <row r="1954">
      <c r="G1954" s="124"/>
    </row>
    <row r="1955">
      <c r="G1955" s="124"/>
    </row>
    <row r="1956">
      <c r="G1956" s="124"/>
    </row>
    <row r="1957">
      <c r="G1957" s="124"/>
    </row>
    <row r="1958">
      <c r="G1958" s="124"/>
    </row>
    <row r="1959">
      <c r="G1959" s="124"/>
    </row>
    <row r="1960">
      <c r="G1960" s="124"/>
    </row>
    <row r="1961">
      <c r="G1961" s="124"/>
    </row>
    <row r="1962">
      <c r="G1962" s="124"/>
    </row>
    <row r="1963">
      <c r="G1963" s="124"/>
    </row>
    <row r="1964">
      <c r="G1964" s="124"/>
    </row>
    <row r="1965">
      <c r="G1965" s="124"/>
    </row>
    <row r="1966">
      <c r="G1966" s="124"/>
    </row>
    <row r="1967">
      <c r="G1967" s="124"/>
    </row>
    <row r="1968">
      <c r="G1968" s="124"/>
    </row>
    <row r="1969">
      <c r="G1969" s="124"/>
    </row>
    <row r="1970">
      <c r="G1970" s="124"/>
    </row>
    <row r="1971">
      <c r="G1971" s="124"/>
    </row>
    <row r="1972">
      <c r="G1972" s="124"/>
    </row>
    <row r="1973">
      <c r="G1973" s="124"/>
    </row>
    <row r="1974">
      <c r="G1974" s="124"/>
    </row>
    <row r="1975">
      <c r="G1975" s="124"/>
    </row>
    <row r="1976">
      <c r="G1976" s="124"/>
    </row>
    <row r="1977">
      <c r="G1977" s="124"/>
    </row>
    <row r="1978">
      <c r="G1978" s="124"/>
    </row>
    <row r="1979">
      <c r="G1979" s="124"/>
    </row>
    <row r="1980">
      <c r="G1980" s="124"/>
    </row>
    <row r="1981">
      <c r="G1981" s="124"/>
    </row>
    <row r="1982">
      <c r="G1982" s="124"/>
    </row>
    <row r="1983">
      <c r="G1983" s="124"/>
    </row>
    <row r="1984">
      <c r="G1984" s="124"/>
    </row>
    <row r="1985">
      <c r="G1985" s="124"/>
    </row>
    <row r="1986">
      <c r="G1986" s="124"/>
    </row>
    <row r="1987">
      <c r="G1987" s="124"/>
    </row>
    <row r="1988">
      <c r="G1988" s="124"/>
    </row>
    <row r="1989">
      <c r="G1989" s="124"/>
    </row>
    <row r="1990">
      <c r="G1990" s="124"/>
    </row>
    <row r="1991">
      <c r="G1991" s="124"/>
    </row>
    <row r="1992">
      <c r="G1992" s="124"/>
    </row>
    <row r="1993">
      <c r="G1993" s="124"/>
    </row>
    <row r="1994">
      <c r="G1994" s="124"/>
    </row>
    <row r="1995">
      <c r="G1995" s="124"/>
    </row>
    <row r="1996">
      <c r="G1996" s="124"/>
    </row>
    <row r="1997">
      <c r="G1997" s="124"/>
    </row>
    <row r="1998">
      <c r="G1998" s="124"/>
    </row>
    <row r="1999">
      <c r="G1999" s="124"/>
    </row>
    <row r="2000">
      <c r="G2000" s="124"/>
    </row>
    <row r="2001">
      <c r="G2001" s="124"/>
    </row>
    <row r="2002">
      <c r="G2002" s="124"/>
    </row>
    <row r="2003">
      <c r="G2003" s="124"/>
    </row>
    <row r="2004">
      <c r="G2004" s="124"/>
    </row>
    <row r="2005">
      <c r="G2005" s="124"/>
    </row>
    <row r="2006">
      <c r="G2006" s="124"/>
    </row>
    <row r="2007">
      <c r="G2007" s="124"/>
    </row>
    <row r="2008">
      <c r="G2008" s="124"/>
    </row>
    <row r="2009">
      <c r="G2009" s="124"/>
    </row>
    <row r="2010">
      <c r="G2010" s="124"/>
    </row>
    <row r="2011">
      <c r="G2011" s="124"/>
    </row>
    <row r="2012">
      <c r="G2012" s="124"/>
    </row>
    <row r="2013">
      <c r="G2013" s="124"/>
    </row>
    <row r="2014">
      <c r="G2014" s="124"/>
    </row>
    <row r="2015">
      <c r="G2015" s="124"/>
    </row>
    <row r="2016">
      <c r="G2016" s="124"/>
    </row>
    <row r="2017">
      <c r="G2017" s="124"/>
    </row>
    <row r="2018">
      <c r="G2018" s="124"/>
    </row>
    <row r="2019">
      <c r="G2019" s="124"/>
    </row>
    <row r="2020">
      <c r="G2020" s="124"/>
    </row>
    <row r="2021">
      <c r="G2021" s="124"/>
    </row>
    <row r="2022">
      <c r="G2022" s="124"/>
    </row>
    <row r="2023">
      <c r="G2023" s="124"/>
    </row>
    <row r="2024">
      <c r="G2024" s="124"/>
    </row>
    <row r="2025">
      <c r="G2025" s="124"/>
    </row>
    <row r="2026">
      <c r="G2026" s="124"/>
    </row>
    <row r="2027">
      <c r="G2027" s="124"/>
    </row>
    <row r="2028">
      <c r="G2028" s="124"/>
    </row>
    <row r="2029">
      <c r="G2029" s="124"/>
    </row>
    <row r="2030">
      <c r="G2030" s="124"/>
    </row>
    <row r="2031">
      <c r="G2031" s="124"/>
    </row>
    <row r="2032">
      <c r="G2032" s="124"/>
    </row>
    <row r="2033">
      <c r="G2033" s="124"/>
    </row>
    <row r="2034">
      <c r="G2034" s="124"/>
    </row>
    <row r="2035">
      <c r="G2035" s="124"/>
    </row>
    <row r="2036">
      <c r="G2036" s="124"/>
    </row>
    <row r="2037">
      <c r="G2037" s="124"/>
    </row>
    <row r="2038">
      <c r="G2038" s="124"/>
    </row>
    <row r="2039">
      <c r="G2039" s="124"/>
    </row>
    <row r="2040">
      <c r="G2040" s="124"/>
    </row>
    <row r="2041">
      <c r="G2041" s="124"/>
    </row>
    <row r="2042">
      <c r="G2042" s="124"/>
    </row>
    <row r="2043">
      <c r="G2043" s="124"/>
    </row>
    <row r="2044">
      <c r="G2044" s="124"/>
    </row>
    <row r="2045">
      <c r="G2045" s="124"/>
    </row>
    <row r="2046">
      <c r="G2046" s="124"/>
    </row>
    <row r="2047">
      <c r="G2047" s="124"/>
    </row>
    <row r="2048">
      <c r="G2048" s="124"/>
    </row>
    <row r="2049">
      <c r="G2049" s="124"/>
    </row>
    <row r="2050">
      <c r="G2050" s="124"/>
    </row>
    <row r="2051">
      <c r="G2051" s="124"/>
    </row>
    <row r="2052">
      <c r="G2052" s="124"/>
    </row>
    <row r="2053">
      <c r="G2053" s="124"/>
    </row>
    <row r="2054">
      <c r="G2054" s="124"/>
    </row>
    <row r="2055">
      <c r="G2055" s="124"/>
    </row>
    <row r="2056">
      <c r="G2056" s="124"/>
    </row>
    <row r="2057">
      <c r="G2057" s="124"/>
    </row>
    <row r="2058">
      <c r="G2058" s="124"/>
    </row>
    <row r="2059">
      <c r="G2059" s="124"/>
    </row>
    <row r="2060">
      <c r="G2060" s="124"/>
    </row>
    <row r="2061">
      <c r="G2061" s="124"/>
    </row>
    <row r="2062">
      <c r="G2062" s="124"/>
    </row>
    <row r="2063">
      <c r="G2063" s="124"/>
    </row>
    <row r="2064">
      <c r="G2064" s="124"/>
    </row>
    <row r="2065">
      <c r="G2065" s="124"/>
    </row>
    <row r="2066">
      <c r="G2066" s="124"/>
    </row>
    <row r="2067">
      <c r="G2067" s="124"/>
    </row>
    <row r="2068">
      <c r="G2068" s="124"/>
    </row>
    <row r="2069">
      <c r="G2069" s="124"/>
    </row>
    <row r="2070">
      <c r="G2070" s="124"/>
    </row>
    <row r="2071">
      <c r="G2071" s="124"/>
    </row>
    <row r="2072">
      <c r="G2072" s="124"/>
    </row>
    <row r="2073">
      <c r="G2073" s="124"/>
    </row>
    <row r="2074">
      <c r="G2074" s="124"/>
    </row>
    <row r="2075">
      <c r="G2075" s="124"/>
    </row>
    <row r="2076">
      <c r="G2076" s="124"/>
    </row>
    <row r="2077">
      <c r="G2077" s="124"/>
    </row>
    <row r="2078">
      <c r="G2078" s="124"/>
    </row>
    <row r="2079">
      <c r="G2079" s="124"/>
    </row>
    <row r="2080">
      <c r="G2080" s="124"/>
    </row>
    <row r="2081">
      <c r="G2081" s="124"/>
    </row>
    <row r="2082">
      <c r="G2082" s="124"/>
    </row>
    <row r="2083">
      <c r="G2083" s="124"/>
    </row>
    <row r="2084">
      <c r="G2084" s="124"/>
    </row>
    <row r="2085">
      <c r="G2085" s="124"/>
    </row>
    <row r="2086">
      <c r="G2086" s="124"/>
    </row>
    <row r="2087">
      <c r="G2087" s="124"/>
    </row>
    <row r="2088">
      <c r="G2088" s="124"/>
    </row>
    <row r="2089">
      <c r="G2089" s="124"/>
    </row>
    <row r="2090">
      <c r="G2090" s="124"/>
    </row>
    <row r="2091">
      <c r="G2091" s="124"/>
    </row>
    <row r="2092">
      <c r="G2092" s="124"/>
    </row>
    <row r="2093">
      <c r="G2093" s="124"/>
    </row>
    <row r="2094">
      <c r="G2094" s="124"/>
    </row>
    <row r="2095">
      <c r="G2095" s="124"/>
    </row>
    <row r="2096">
      <c r="G2096" s="124"/>
    </row>
    <row r="2097">
      <c r="G2097" s="124"/>
    </row>
    <row r="2098">
      <c r="G2098" s="124"/>
    </row>
    <row r="2099">
      <c r="G2099" s="124"/>
    </row>
    <row r="2100">
      <c r="G2100" s="124"/>
    </row>
    <row r="2101">
      <c r="G2101" s="124"/>
    </row>
    <row r="2102">
      <c r="G2102" s="124"/>
    </row>
    <row r="2103">
      <c r="G2103" s="124"/>
    </row>
    <row r="2104">
      <c r="G2104" s="124"/>
    </row>
    <row r="2105">
      <c r="G2105" s="124"/>
    </row>
    <row r="2106">
      <c r="G2106" s="124"/>
    </row>
    <row r="2107">
      <c r="G2107" s="124"/>
    </row>
    <row r="2108">
      <c r="G2108" s="124"/>
    </row>
    <row r="2109">
      <c r="G2109" s="124"/>
    </row>
    <row r="2110">
      <c r="G2110" s="124"/>
    </row>
    <row r="2111">
      <c r="G2111" s="124"/>
    </row>
    <row r="2112">
      <c r="G2112" s="124"/>
    </row>
    <row r="2113">
      <c r="G2113" s="124"/>
    </row>
    <row r="2114">
      <c r="G2114" s="124"/>
    </row>
    <row r="2115">
      <c r="G2115" s="124"/>
    </row>
    <row r="2116">
      <c r="G2116" s="124"/>
    </row>
    <row r="2117">
      <c r="G2117" s="124"/>
    </row>
    <row r="2118">
      <c r="G2118" s="124"/>
    </row>
    <row r="2119">
      <c r="G2119" s="124"/>
    </row>
    <row r="2120">
      <c r="G2120" s="124"/>
    </row>
    <row r="2121">
      <c r="G2121" s="124"/>
    </row>
    <row r="2122">
      <c r="G2122" s="124"/>
    </row>
    <row r="2123">
      <c r="G2123" s="124"/>
    </row>
    <row r="2124">
      <c r="G2124" s="124"/>
    </row>
    <row r="2125">
      <c r="G2125" s="124"/>
    </row>
    <row r="2126">
      <c r="G2126" s="124"/>
    </row>
    <row r="2127">
      <c r="G2127" s="124"/>
    </row>
    <row r="2128">
      <c r="G2128" s="124"/>
    </row>
    <row r="2129">
      <c r="G2129" s="124"/>
    </row>
    <row r="2130">
      <c r="G2130" s="124"/>
    </row>
    <row r="2131">
      <c r="G2131" s="124"/>
    </row>
    <row r="2132">
      <c r="G2132" s="124"/>
    </row>
    <row r="2133">
      <c r="G2133" s="124"/>
    </row>
    <row r="2134">
      <c r="G2134" s="124"/>
    </row>
    <row r="2135">
      <c r="G2135" s="124"/>
    </row>
    <row r="2136">
      <c r="G2136" s="124"/>
    </row>
    <row r="2137">
      <c r="G2137" s="124"/>
    </row>
    <row r="2138">
      <c r="G2138" s="124"/>
    </row>
    <row r="2139">
      <c r="G2139" s="124"/>
    </row>
    <row r="2140">
      <c r="G2140" s="124"/>
    </row>
    <row r="2141">
      <c r="G2141" s="124"/>
    </row>
    <row r="2142">
      <c r="G2142" s="124"/>
    </row>
    <row r="2143">
      <c r="G2143" s="124"/>
    </row>
    <row r="2144">
      <c r="G2144" s="124"/>
    </row>
    <row r="2145">
      <c r="G2145" s="124"/>
    </row>
    <row r="2146">
      <c r="G2146" s="124"/>
    </row>
    <row r="2147">
      <c r="G2147" s="124"/>
    </row>
    <row r="2148">
      <c r="G2148" s="124"/>
    </row>
    <row r="2149">
      <c r="G2149" s="124"/>
    </row>
    <row r="2150">
      <c r="G2150" s="124"/>
    </row>
    <row r="2151">
      <c r="G2151" s="124"/>
    </row>
    <row r="2152">
      <c r="G2152" s="124"/>
    </row>
    <row r="2153">
      <c r="G2153" s="124"/>
    </row>
    <row r="2154">
      <c r="G2154" s="124"/>
    </row>
    <row r="2155">
      <c r="G2155" s="124"/>
    </row>
    <row r="2156">
      <c r="G2156" s="124"/>
    </row>
    <row r="2157">
      <c r="G2157" s="124"/>
    </row>
    <row r="2158">
      <c r="G2158" s="124"/>
    </row>
    <row r="2159">
      <c r="G2159" s="124"/>
    </row>
    <row r="2160">
      <c r="G2160" s="124"/>
    </row>
    <row r="2161">
      <c r="G2161" s="124"/>
    </row>
    <row r="2162">
      <c r="G2162" s="124"/>
    </row>
    <row r="2163">
      <c r="G2163" s="124"/>
    </row>
    <row r="2164">
      <c r="G2164" s="124"/>
    </row>
    <row r="2165">
      <c r="G2165" s="124"/>
    </row>
    <row r="2166">
      <c r="G2166" s="124"/>
    </row>
    <row r="2167">
      <c r="G2167" s="124"/>
    </row>
    <row r="2168">
      <c r="G2168" s="124"/>
    </row>
    <row r="2169">
      <c r="G2169" s="124"/>
    </row>
    <row r="2170">
      <c r="G2170" s="124"/>
    </row>
    <row r="2171">
      <c r="G2171" s="124"/>
    </row>
    <row r="2172">
      <c r="G2172" s="124"/>
    </row>
    <row r="2173">
      <c r="G2173" s="124"/>
    </row>
    <row r="2174">
      <c r="G2174" s="124"/>
    </row>
    <row r="2175">
      <c r="G2175" s="124"/>
    </row>
    <row r="2176">
      <c r="G2176" s="124"/>
    </row>
    <row r="2177">
      <c r="G2177" s="124"/>
    </row>
    <row r="2178">
      <c r="G2178" s="124"/>
    </row>
    <row r="2179">
      <c r="G2179" s="124"/>
    </row>
    <row r="2180">
      <c r="G2180" s="124"/>
    </row>
    <row r="2181">
      <c r="G2181" s="124"/>
    </row>
    <row r="2182">
      <c r="G2182" s="124"/>
    </row>
    <row r="2183">
      <c r="G2183" s="124"/>
    </row>
    <row r="2184">
      <c r="G2184" s="124"/>
    </row>
    <row r="2185">
      <c r="G2185" s="124"/>
    </row>
    <row r="2186">
      <c r="G2186" s="124"/>
    </row>
    <row r="2187">
      <c r="G2187" s="124"/>
    </row>
    <row r="2188">
      <c r="G2188" s="124"/>
    </row>
    <row r="2189">
      <c r="G2189" s="124"/>
    </row>
    <row r="2190">
      <c r="G2190" s="124"/>
    </row>
    <row r="2191">
      <c r="G2191" s="124"/>
    </row>
    <row r="2192">
      <c r="G2192" s="124"/>
    </row>
    <row r="2193">
      <c r="G2193" s="124"/>
    </row>
    <row r="2194">
      <c r="G2194" s="124"/>
    </row>
    <row r="2195">
      <c r="G2195" s="124"/>
    </row>
    <row r="2196">
      <c r="G2196" s="124"/>
    </row>
    <row r="2197">
      <c r="G2197" s="124"/>
    </row>
    <row r="2198">
      <c r="G2198" s="124"/>
    </row>
    <row r="2199">
      <c r="G2199" s="124"/>
    </row>
    <row r="2200">
      <c r="G2200" s="124"/>
    </row>
    <row r="2201">
      <c r="G2201" s="124"/>
    </row>
    <row r="2202">
      <c r="G2202" s="124"/>
    </row>
    <row r="2203">
      <c r="G2203" s="124"/>
    </row>
    <row r="2204">
      <c r="G2204" s="124"/>
    </row>
    <row r="2205">
      <c r="G2205" s="124"/>
    </row>
    <row r="2206">
      <c r="G2206" s="124"/>
    </row>
    <row r="2207">
      <c r="G2207" s="124"/>
    </row>
    <row r="2208">
      <c r="G2208" s="124"/>
    </row>
    <row r="2209">
      <c r="G2209" s="124"/>
    </row>
    <row r="2210">
      <c r="G2210" s="124"/>
    </row>
    <row r="2211">
      <c r="G2211" s="124"/>
    </row>
    <row r="2212">
      <c r="G2212" s="124"/>
    </row>
    <row r="2213">
      <c r="G2213" s="124"/>
    </row>
    <row r="2214">
      <c r="G2214" s="124"/>
    </row>
    <row r="2215">
      <c r="G2215" s="124"/>
    </row>
    <row r="2216">
      <c r="G2216" s="124"/>
    </row>
    <row r="2217">
      <c r="G2217" s="124"/>
    </row>
    <row r="2218">
      <c r="G2218" s="124"/>
    </row>
    <row r="2219">
      <c r="G2219" s="124"/>
    </row>
    <row r="2220">
      <c r="G2220" s="124"/>
    </row>
    <row r="2221">
      <c r="G2221" s="124"/>
    </row>
    <row r="2222">
      <c r="G2222" s="124"/>
    </row>
    <row r="2223">
      <c r="G2223" s="124"/>
    </row>
    <row r="2224">
      <c r="G2224" s="124"/>
    </row>
    <row r="2225">
      <c r="G2225" s="124"/>
    </row>
    <row r="2226">
      <c r="G2226" s="124"/>
    </row>
    <row r="2227">
      <c r="G2227" s="124"/>
    </row>
    <row r="2228">
      <c r="G2228" s="124"/>
    </row>
    <row r="2229">
      <c r="G2229" s="124"/>
    </row>
    <row r="2230">
      <c r="G2230" s="124"/>
    </row>
    <row r="2231">
      <c r="G2231" s="124"/>
    </row>
    <row r="2232">
      <c r="G2232" s="124"/>
    </row>
    <row r="2233">
      <c r="G2233" s="124"/>
    </row>
    <row r="2234">
      <c r="G2234" s="124"/>
    </row>
    <row r="2235">
      <c r="G2235" s="124"/>
    </row>
    <row r="2236">
      <c r="G2236" s="124"/>
    </row>
    <row r="2237">
      <c r="G2237" s="124"/>
    </row>
    <row r="2238">
      <c r="G2238" s="124"/>
    </row>
    <row r="2239">
      <c r="G2239" s="124"/>
    </row>
    <row r="2240">
      <c r="G2240" s="124"/>
    </row>
    <row r="2241">
      <c r="G2241" s="124"/>
    </row>
    <row r="2242">
      <c r="G2242" s="124"/>
    </row>
    <row r="2243">
      <c r="G2243" s="124"/>
    </row>
    <row r="2244">
      <c r="G2244" s="124"/>
    </row>
    <row r="2245">
      <c r="G2245" s="124"/>
    </row>
    <row r="2246">
      <c r="G2246" s="124"/>
    </row>
    <row r="2247">
      <c r="G2247" s="124"/>
    </row>
    <row r="2248">
      <c r="G2248" s="124"/>
    </row>
    <row r="2249">
      <c r="G2249" s="124"/>
    </row>
    <row r="2250">
      <c r="G2250" s="124"/>
    </row>
    <row r="2251">
      <c r="G2251" s="124"/>
    </row>
    <row r="2252">
      <c r="G2252" s="124"/>
    </row>
    <row r="2253">
      <c r="G2253" s="124"/>
    </row>
    <row r="2254">
      <c r="G2254" s="124"/>
    </row>
    <row r="2255">
      <c r="G2255" s="124"/>
    </row>
    <row r="2256">
      <c r="G2256" s="124"/>
    </row>
    <row r="2257">
      <c r="G2257" s="124"/>
    </row>
    <row r="2258">
      <c r="G2258" s="124"/>
    </row>
    <row r="2259">
      <c r="G2259" s="124"/>
    </row>
    <row r="2260">
      <c r="G2260" s="124"/>
    </row>
    <row r="2261">
      <c r="G2261" s="124"/>
    </row>
    <row r="2262">
      <c r="G2262" s="124"/>
    </row>
    <row r="2263">
      <c r="G2263" s="124"/>
    </row>
    <row r="2264">
      <c r="G2264" s="124"/>
    </row>
    <row r="2265">
      <c r="G2265" s="124"/>
    </row>
    <row r="2266">
      <c r="G2266" s="124"/>
    </row>
    <row r="2267">
      <c r="G2267" s="124"/>
    </row>
    <row r="2268">
      <c r="G2268" s="124"/>
    </row>
    <row r="2269">
      <c r="G2269" s="124"/>
    </row>
    <row r="2270">
      <c r="G2270" s="124"/>
    </row>
    <row r="2271">
      <c r="G2271" s="124"/>
    </row>
    <row r="2272">
      <c r="G2272" s="124"/>
    </row>
    <row r="2273">
      <c r="G2273" s="124"/>
    </row>
    <row r="2274">
      <c r="G2274" s="124"/>
    </row>
    <row r="2275">
      <c r="G2275" s="124"/>
    </row>
    <row r="2276">
      <c r="G2276" s="124"/>
    </row>
    <row r="2277">
      <c r="G2277" s="124"/>
    </row>
    <row r="2278">
      <c r="G2278" s="124"/>
    </row>
    <row r="2279">
      <c r="G2279" s="124"/>
    </row>
    <row r="2280">
      <c r="G2280" s="124"/>
    </row>
    <row r="2281">
      <c r="G2281" s="124"/>
    </row>
    <row r="2282">
      <c r="G2282" s="124"/>
    </row>
    <row r="2283">
      <c r="G2283" s="124"/>
    </row>
    <row r="2284">
      <c r="G2284" s="124"/>
    </row>
    <row r="2285">
      <c r="G2285" s="124"/>
    </row>
    <row r="2286">
      <c r="G2286" s="124"/>
    </row>
    <row r="2287">
      <c r="G2287" s="124"/>
    </row>
    <row r="2288">
      <c r="G2288" s="124"/>
    </row>
    <row r="2289">
      <c r="G2289" s="124"/>
    </row>
    <row r="2290">
      <c r="G2290" s="124"/>
    </row>
    <row r="2291">
      <c r="G2291" s="124"/>
    </row>
    <row r="2292">
      <c r="G2292" s="124"/>
    </row>
    <row r="2293">
      <c r="G2293" s="124"/>
    </row>
    <row r="2294">
      <c r="G2294" s="124"/>
    </row>
    <row r="2295">
      <c r="G2295" s="124"/>
    </row>
    <row r="2296">
      <c r="G2296" s="124"/>
    </row>
    <row r="2297">
      <c r="G2297" s="124"/>
    </row>
    <row r="2298">
      <c r="G2298" s="124"/>
    </row>
    <row r="2299">
      <c r="G2299" s="124"/>
    </row>
    <row r="2300">
      <c r="G2300" s="124"/>
    </row>
    <row r="2301">
      <c r="G2301" s="124"/>
    </row>
    <row r="2302">
      <c r="G2302" s="124"/>
    </row>
    <row r="2303">
      <c r="G2303" s="124"/>
    </row>
    <row r="2304">
      <c r="G2304" s="124"/>
    </row>
    <row r="2305">
      <c r="G2305" s="124"/>
    </row>
    <row r="2306">
      <c r="G2306" s="124"/>
    </row>
    <row r="2307">
      <c r="G2307" s="124"/>
    </row>
    <row r="2308">
      <c r="G2308" s="124"/>
    </row>
    <row r="2309">
      <c r="G2309" s="124"/>
    </row>
    <row r="2310">
      <c r="G2310" s="124"/>
    </row>
    <row r="2311">
      <c r="G2311" s="124"/>
    </row>
    <row r="2312">
      <c r="G2312" s="124"/>
    </row>
    <row r="2313">
      <c r="G2313" s="124"/>
    </row>
    <row r="2314">
      <c r="G2314" s="124"/>
    </row>
  </sheetData>
  <autoFilter ref="$B$2:$H$1286"/>
  <conditionalFormatting sqref="D3 D873 D1133">
    <cfRule type="cellIs" dxfId="0" priority="1" operator="greaterThan">
      <formula>$A3&gt;0</formula>
    </cfRule>
  </conditionalFormatting>
  <conditionalFormatting sqref="D3 D873 D1133">
    <cfRule type="cellIs" dxfId="0" priority="2" operator="greaterThan">
      <formula>$A$3&gt;0</formula>
    </cfRule>
  </conditionalFormatting>
  <conditionalFormatting sqref="D272">
    <cfRule type="cellIs" dxfId="0" priority="3" operator="greaterThan">
      <formula>$A272&gt;0</formula>
    </cfRule>
  </conditionalFormatting>
  <conditionalFormatting sqref="D272">
    <cfRule type="cellIs" dxfId="0" priority="4" operator="greaterThan">
      <formula>$A$3&gt;0</formula>
    </cfRule>
  </conditionalFormatting>
  <dataValidations>
    <dataValidation type="list" allowBlank="1" showErrorMessage="1" sqref="D657:D659 D661 D793">
      <formula1>$B$4:$B$119</formula1>
    </dataValidation>
    <dataValidation type="list" allowBlank="1" showErrorMessage="1" sqref="D745:D750 D771:D774">
      <formula1>$B$4:$B$126</formula1>
    </dataValidation>
    <dataValidation type="list" allowBlank="1" showErrorMessage="1" sqref="D44:D49 D53:D59 D63:D100 D102:D112 D115:D125 D128:D137 D139:D149 D151 D153:D158 D161:D162 D164:D172 D175:D184 D187:D196 D198 D200:D206 D210:D234 D236:D243 D246 D248:D252 D254:D260 D262 D264:D271 D399:D405 D415 D460:D462 D519 D579:D584 D588:D589 D597 D679:D682 D684 D720 D751:D768 D775:D783 D790:D791 D798:D873 D880:D882 D893:D905 D915:D919 D922:D924 D927:D929 D931:D945 D962:D1012 D1018:D1073 D1075:D1081 D1083:D1086 D1089 D1111 D1120:D1127 D1130 D1132:D1133 D1142:D1144 D1146:D1165 D1190:D1195 D1228:D1231 D1237:D1256 D1285">
      <formula1>$B$5:$B$156</formula1>
    </dataValidation>
    <dataValidation type="list" allowBlank="1" showErrorMessage="1" sqref="D138 D235 D253 D278:D322 D324:D360 D362:D397 D406:D412 D423:D430 D434 D436:D440 D454 D484:D490 D520 D596 D601:D605 D614:D621 D653 D669 D784:D789 D1013:D1017 D1100 D1232:D1236">
      <formula1>Insumos!$B$5:$B$112</formula1>
    </dataValidation>
    <dataValidation type="list" allowBlank="1" showErrorMessage="1" sqref="D524:D526 D529 D662:D668 D695:D698 D701:D706 D709:D719 D721:D723 D794:D797 D907:D911 D914 D921 D926">
      <formula1>$B$4:$B$122</formula1>
    </dataValidation>
    <dataValidation type="list" allowBlank="1" showErrorMessage="1" sqref="D50 D60 D323 D431:D432 D611:D613 D622:D628 D641:D652 D654:D656 D660 D792 D1128 D1196">
      <formula1>$B$4:$B$120</formula1>
    </dataValidation>
    <dataValidation type="list" allowBlank="1" showErrorMessage="1" sqref="D433 D435 D455:D459 D463:D473 D491:D500 D502:D509 D512:D518 D521:D523 D670:D676 D1101:D1108">
      <formula1>$B$4:$B$103</formula1>
    </dataValidation>
    <dataValidation type="list" allowBlank="1" showErrorMessage="1" sqref="D530:D542 D545:D552 D554:D561 D564:D578 D590:D595 D598:D600 D606:D610 D629:D637 D640 D883:D889 D892">
      <formula1>Insumos!$B$5:$B$115</formula1>
    </dataValidation>
    <dataValidation type="list" allowBlank="1" showErrorMessage="1" sqref="D724:D731 D733:D744 D769:D770">
      <formula1>$B$4:$B$123</formula1>
    </dataValidation>
    <dataValidation type="list" allowBlank="1" showErrorMessage="1" sqref="D416:D421">
      <formula1>$B$4:$B$96</formula1>
    </dataValidation>
    <dataValidation type="list" allowBlank="1" showErrorMessage="1" sqref="D3 D1166:D1169 D1171:D1189 D1205:D1227 D1257:D1284">
      <formula1>Insumos!$B$5:$B$176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2" width="7.63"/>
    <col customWidth="1" min="3" max="3" width="27.5"/>
    <col customWidth="1" min="4" max="4" width="7.63"/>
    <col customWidth="1" min="5" max="5" width="6.38"/>
    <col customWidth="1" min="7" max="7" width="11.38"/>
    <col customWidth="1" hidden="1" min="8" max="8" width="9.88" outlineLevel="1"/>
    <col customWidth="1" hidden="1" min="9" max="9" width="13.0" outlineLevel="1"/>
    <col customWidth="1" hidden="1" min="10" max="10" width="13.38" outlineLevel="1"/>
    <col customWidth="1" hidden="1" min="11" max="11" width="8.88" outlineLevel="1"/>
    <col customWidth="1" hidden="1" min="12" max="12" width="11.13" outlineLevel="1"/>
    <col customWidth="1" hidden="1" min="13" max="13" width="0.13" outlineLevel="1"/>
    <col collapsed="1" customWidth="1" min="14" max="14" width="19.63"/>
    <col customWidth="1" min="15" max="15" width="24.63"/>
    <col customWidth="1" min="16" max="27" width="7.63"/>
  </cols>
  <sheetData>
    <row r="1" ht="12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5"/>
      <c r="B2" s="126" t="s">
        <v>560</v>
      </c>
      <c r="C2" s="126" t="s">
        <v>356</v>
      </c>
      <c r="D2" s="126" t="s">
        <v>358</v>
      </c>
      <c r="E2" s="126" t="s">
        <v>739</v>
      </c>
      <c r="F2" s="126" t="s">
        <v>740</v>
      </c>
      <c r="G2" s="126" t="s">
        <v>741</v>
      </c>
      <c r="H2" s="126" t="s">
        <v>742</v>
      </c>
      <c r="I2" s="126" t="s">
        <v>743</v>
      </c>
      <c r="J2" s="126" t="s">
        <v>11</v>
      </c>
      <c r="K2" s="126" t="s">
        <v>383</v>
      </c>
      <c r="L2" s="126" t="s">
        <v>744</v>
      </c>
      <c r="M2" s="126" t="s">
        <v>745</v>
      </c>
      <c r="N2" s="126" t="s">
        <v>746</v>
      </c>
      <c r="O2" s="127" t="s">
        <v>747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ht="12.75" customHeight="1">
      <c r="A3" s="129"/>
      <c r="B3" s="130">
        <v>1.0</v>
      </c>
      <c r="C3" s="131" t="str">
        <f>TEXT(IFERROR(VLOOKUP($B3,Recetas!$B:$C,2,0),""),)</f>
        <v>Budín de limón</v>
      </c>
      <c r="D3" s="132">
        <v>10000.0</v>
      </c>
      <c r="E3" s="133" t="s">
        <v>588</v>
      </c>
      <c r="F3" s="132">
        <f t="shared" ref="F3:F153" si="1">IFERROR(G3*(1+200%),0)</f>
        <v>16674.2</v>
      </c>
      <c r="G3" s="132">
        <f>IF(C3="","",SUMIF(Recetas!$B:$B,'Costo x Articulo'!$B3,Recetas!$H:$H))</f>
        <v>5558.066667</v>
      </c>
      <c r="H3" s="132">
        <f t="shared" ref="H3:H153" si="2">IFERROR(F3-G3,0)</f>
        <v>11116.13333</v>
      </c>
      <c r="I3" s="134">
        <v>4100.0</v>
      </c>
      <c r="J3" s="132">
        <f t="shared" ref="J3:J122" si="3">IF(I3="","",I3-G3)</f>
        <v>-1458.066667</v>
      </c>
      <c r="K3" s="135">
        <f t="shared" ref="K3:K122" si="4">IFERROR(J3/G3,"")</f>
        <v>-0.2623334253</v>
      </c>
      <c r="L3" s="131"/>
      <c r="M3" s="131"/>
      <c r="N3" s="131"/>
      <c r="O3" s="13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>
      <c r="A4" s="2"/>
      <c r="B4" s="137">
        <v>2.0</v>
      </c>
      <c r="C4" s="138" t="str">
        <f>TEXT(IFERROR(VLOOKUP($B4,Recetas!$B:$C,2,0),""),)</f>
        <v>Macarrons x 12 unidades</v>
      </c>
      <c r="D4" s="139">
        <v>7000.0</v>
      </c>
      <c r="E4" s="140" t="s">
        <v>588</v>
      </c>
      <c r="F4" s="139">
        <f t="shared" si="1"/>
        <v>10173.4</v>
      </c>
      <c r="G4" s="139">
        <f>IF(C4="","",SUMIF(Recetas!$B:$B,'Costo x Articulo'!$B4,Recetas!$H:$H))</f>
        <v>3391.133333</v>
      </c>
      <c r="H4" s="139">
        <f t="shared" si="2"/>
        <v>6782.266667</v>
      </c>
      <c r="I4" s="141">
        <v>2700.0</v>
      </c>
      <c r="J4" s="139">
        <f t="shared" si="3"/>
        <v>-691.1333333</v>
      </c>
      <c r="K4" s="142">
        <f t="shared" si="4"/>
        <v>-0.2038060039</v>
      </c>
      <c r="L4" s="138"/>
      <c r="M4" s="138"/>
      <c r="N4" s="138"/>
      <c r="O4" s="14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75" customHeight="1">
      <c r="A5" s="2"/>
      <c r="B5" s="137">
        <v>3.0</v>
      </c>
      <c r="C5" s="138" t="str">
        <f>TEXT(IFERROR(VLOOKUP($B5,Recetas!$B:$C,2,0),""),)</f>
        <v>Lemon pie 24cm</v>
      </c>
      <c r="D5" s="139">
        <v>16000.0</v>
      </c>
      <c r="E5" s="140" t="s">
        <v>588</v>
      </c>
      <c r="F5" s="139">
        <f t="shared" si="1"/>
        <v>27370.6</v>
      </c>
      <c r="G5" s="139">
        <f>IF(C5="","",SUMIF(Recetas!$B:$B,'Costo x Articulo'!$B5,Recetas!$H:$H))</f>
        <v>9123.533333</v>
      </c>
      <c r="H5" s="139">
        <f t="shared" si="2"/>
        <v>18247.06667</v>
      </c>
      <c r="I5" s="141">
        <v>7300.0</v>
      </c>
      <c r="J5" s="139">
        <f t="shared" si="3"/>
        <v>-1823.533333</v>
      </c>
      <c r="K5" s="142">
        <f t="shared" si="4"/>
        <v>-0.1998713949</v>
      </c>
      <c r="L5" s="138"/>
      <c r="M5" s="138"/>
      <c r="N5" s="138"/>
      <c r="O5" s="14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2.75" customHeight="1">
      <c r="A6" s="2"/>
      <c r="B6" s="137">
        <v>4.0</v>
      </c>
      <c r="C6" s="138" t="str">
        <f>TEXT(IFERROR(VLOOKUP($B6,Recetas!$B:$C,2,0),""),)</f>
        <v>Lemon pie 12cm</v>
      </c>
      <c r="D6" s="138"/>
      <c r="E6" s="138"/>
      <c r="F6" s="139">
        <f t="shared" si="1"/>
        <v>13685.3</v>
      </c>
      <c r="G6" s="139">
        <f>IF(C6="","",SUMIF(Recetas!$B:$B,'Costo x Articulo'!$B6,Recetas!$H:$H))</f>
        <v>4561.766667</v>
      </c>
      <c r="H6" s="139">
        <f t="shared" si="2"/>
        <v>9123.533333</v>
      </c>
      <c r="I6" s="141">
        <v>2700.0</v>
      </c>
      <c r="J6" s="139">
        <f t="shared" si="3"/>
        <v>-1861.766667</v>
      </c>
      <c r="K6" s="142">
        <f t="shared" si="4"/>
        <v>-0.4081240455</v>
      </c>
      <c r="L6" s="138"/>
      <c r="M6" s="138"/>
      <c r="N6" s="138"/>
      <c r="O6" s="14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>
      <c r="A7" s="2"/>
      <c r="B7" s="137">
        <v>5.0</v>
      </c>
      <c r="C7" s="138" t="str">
        <f>TEXT(IFERROR(VLOOKUP($B7,Recetas!$B:$C,2,0),""),)</f>
        <v>Brownie 20x20cm</v>
      </c>
      <c r="D7" s="138"/>
      <c r="E7" s="138"/>
      <c r="F7" s="139">
        <f t="shared" si="1"/>
        <v>22591.98333</v>
      </c>
      <c r="G7" s="139">
        <f>IF(C7="","",SUMIF(Recetas!$B:$B,'Costo x Articulo'!$B7,Recetas!$H:$H))</f>
        <v>7530.661111</v>
      </c>
      <c r="H7" s="139">
        <f t="shared" si="2"/>
        <v>15061.32222</v>
      </c>
      <c r="I7" s="141">
        <v>4500.0</v>
      </c>
      <c r="J7" s="139">
        <f t="shared" si="3"/>
        <v>-3030.661111</v>
      </c>
      <c r="K7" s="142">
        <f t="shared" si="4"/>
        <v>-0.4024429019</v>
      </c>
      <c r="L7" s="138"/>
      <c r="M7" s="138"/>
      <c r="N7" s="138"/>
      <c r="O7" s="14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1">
      <c r="A8" s="2"/>
      <c r="B8" s="137">
        <v>6.0</v>
      </c>
      <c r="C8" s="138" t="str">
        <f>TEXT(IFERROR(VLOOKUP($B8,Recetas!$B:$C,2,0),""),)</f>
        <v>Torta brownie 20x20cm</v>
      </c>
      <c r="D8" s="139">
        <v>20000.0</v>
      </c>
      <c r="E8" s="140" t="s">
        <v>588</v>
      </c>
      <c r="F8" s="139">
        <f t="shared" si="1"/>
        <v>30699.98333</v>
      </c>
      <c r="G8" s="139">
        <f>IF(C8="","",SUMIF(Recetas!$B:$B,'Costo x Articulo'!$B8,Recetas!$H:$H))</f>
        <v>10233.32778</v>
      </c>
      <c r="H8" s="139">
        <f t="shared" si="2"/>
        <v>20466.65556</v>
      </c>
      <c r="I8" s="141">
        <v>7000.0</v>
      </c>
      <c r="J8" s="139">
        <f t="shared" si="3"/>
        <v>-3233.327778</v>
      </c>
      <c r="K8" s="142">
        <f t="shared" si="4"/>
        <v>-0.3159605407</v>
      </c>
      <c r="L8" s="138"/>
      <c r="M8" s="138"/>
      <c r="N8" s="138"/>
      <c r="O8" s="14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1">
      <c r="A9" s="2"/>
      <c r="B9" s="137">
        <v>7.0</v>
      </c>
      <c r="C9" s="138" t="str">
        <f>TEXT(IFERROR(VLOOKUP($B9,Recetas!$B:$C,2,0),""),)</f>
        <v>Tarta Frutillas 24cm </v>
      </c>
      <c r="D9" s="138"/>
      <c r="E9" s="138"/>
      <c r="F9" s="139">
        <f t="shared" si="1"/>
        <v>18376</v>
      </c>
      <c r="G9" s="139">
        <f>IF(C9="","",SUMIF(Recetas!$B:$B,'Costo x Articulo'!$B9,Recetas!$H:$H))</f>
        <v>6125.333333</v>
      </c>
      <c r="H9" s="139">
        <f t="shared" si="2"/>
        <v>12250.66667</v>
      </c>
      <c r="I9" s="141">
        <v>5100.0</v>
      </c>
      <c r="J9" s="139">
        <f t="shared" si="3"/>
        <v>-1025.333333</v>
      </c>
      <c r="K9" s="142">
        <f t="shared" si="4"/>
        <v>-0.1673922508</v>
      </c>
      <c r="L9" s="138"/>
      <c r="M9" s="138"/>
      <c r="N9" s="138"/>
      <c r="O9" s="14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2.75" customHeight="1">
      <c r="A10" s="2"/>
      <c r="B10" s="137">
        <v>8.0</v>
      </c>
      <c r="C10" s="138" t="str">
        <f>TEXT(IFERROR(VLOOKUP($B10,Recetas!$B:$C,2,0),""),)</f>
        <v>Bombas De DDL</v>
      </c>
      <c r="D10" s="138"/>
      <c r="E10" s="138"/>
      <c r="F10" s="139">
        <f t="shared" si="1"/>
        <v>20596.6</v>
      </c>
      <c r="G10" s="139">
        <f>IF(C10="","",SUMIF(Recetas!$B:$B,'Costo x Articulo'!$B10,Recetas!$H:$H))</f>
        <v>6865.533333</v>
      </c>
      <c r="H10" s="139">
        <f t="shared" si="2"/>
        <v>13731.06667</v>
      </c>
      <c r="I10" s="141">
        <v>5400.0</v>
      </c>
      <c r="J10" s="139">
        <f t="shared" si="3"/>
        <v>-1465.533333</v>
      </c>
      <c r="K10" s="142">
        <f t="shared" si="4"/>
        <v>-0.2134624161</v>
      </c>
      <c r="L10" s="138"/>
      <c r="M10" s="138"/>
      <c r="N10" s="138"/>
      <c r="O10" s="14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2.75" customHeight="1">
      <c r="A11" s="2"/>
      <c r="B11" s="137">
        <v>9.0</v>
      </c>
      <c r="C11" s="138" t="str">
        <f>TEXT(IFERROR(VLOOKUP($B11,Recetas!$B:$C,2,0),""),)</f>
        <v>bombas De Crema</v>
      </c>
      <c r="D11" s="138"/>
      <c r="E11" s="138"/>
      <c r="F11" s="139">
        <f t="shared" si="1"/>
        <v>21016.6</v>
      </c>
      <c r="G11" s="139">
        <f>IF(C11="","",SUMIF(Recetas!$B:$B,'Costo x Articulo'!$B11,Recetas!$H:$H))</f>
        <v>7005.533333</v>
      </c>
      <c r="H11" s="139">
        <f t="shared" si="2"/>
        <v>14011.06667</v>
      </c>
      <c r="I11" s="141">
        <v>5200.0</v>
      </c>
      <c r="J11" s="139">
        <f t="shared" si="3"/>
        <v>-1805.533333</v>
      </c>
      <c r="K11" s="142">
        <f t="shared" si="4"/>
        <v>-0.2577296042</v>
      </c>
      <c r="L11" s="138"/>
      <c r="M11" s="138"/>
      <c r="N11" s="138"/>
      <c r="O11" s="14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.75" customHeight="1">
      <c r="A12" s="2"/>
      <c r="B12" s="137">
        <v>10.0</v>
      </c>
      <c r="C12" s="138" t="str">
        <f>TEXT(IFERROR(VLOOKUP($B12,Recetas!$B:$C,2,0),""),)</f>
        <v>Cookies Chips Chocolatesx15</v>
      </c>
      <c r="D12" s="139">
        <v>4500.0</v>
      </c>
      <c r="E12" s="140" t="s">
        <v>588</v>
      </c>
      <c r="F12" s="139">
        <f t="shared" si="1"/>
        <v>7233.38</v>
      </c>
      <c r="G12" s="139">
        <f>IF(C12="","",SUMIF(Recetas!$B:$B,'Costo x Articulo'!$B12,Recetas!$H:$H))</f>
        <v>2411.126667</v>
      </c>
      <c r="H12" s="139">
        <f t="shared" si="2"/>
        <v>4822.253333</v>
      </c>
      <c r="I12" s="141">
        <v>1800.0</v>
      </c>
      <c r="J12" s="139">
        <f t="shared" si="3"/>
        <v>-611.1266667</v>
      </c>
      <c r="K12" s="142">
        <f t="shared" si="4"/>
        <v>-0.2534610376</v>
      </c>
      <c r="L12" s="138"/>
      <c r="M12" s="138"/>
      <c r="N12" s="138"/>
      <c r="O12" s="14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1">
      <c r="A13" s="2"/>
      <c r="B13" s="137">
        <v>11.0</v>
      </c>
      <c r="C13" s="138" t="str">
        <f>TEXT(IFERROR(VLOOKUP($B13,Recetas!$B:$C,2,0),""),)</f>
        <v>Alfajores de Nuez x12</v>
      </c>
      <c r="D13" s="139">
        <v>8000.0</v>
      </c>
      <c r="E13" s="140" t="s">
        <v>588</v>
      </c>
      <c r="F13" s="139">
        <f t="shared" si="1"/>
        <v>10929.5</v>
      </c>
      <c r="G13" s="139">
        <f>IF(C13="","",SUMIF(Recetas!$B:$B,'Costo x Articulo'!$B13,Recetas!$H:$H))</f>
        <v>3643.166667</v>
      </c>
      <c r="H13" s="139">
        <f t="shared" si="2"/>
        <v>7286.333333</v>
      </c>
      <c r="I13" s="141">
        <v>3300.0</v>
      </c>
      <c r="J13" s="139">
        <f t="shared" si="3"/>
        <v>-343.1666667</v>
      </c>
      <c r="K13" s="142">
        <f t="shared" si="4"/>
        <v>-0.09419461092</v>
      </c>
      <c r="L13" s="138"/>
      <c r="M13" s="138"/>
      <c r="N13" s="138"/>
      <c r="O13" s="14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2.75" customHeight="1">
      <c r="A14" s="2"/>
      <c r="B14" s="137">
        <v>12.0</v>
      </c>
      <c r="C14" s="138" t="str">
        <f>TEXT(IFERROR(VLOOKUP($B14,Recetas!$B:$C,2,0),""),)</f>
        <v>Tarta de Coco</v>
      </c>
      <c r="D14" s="138"/>
      <c r="E14" s="138"/>
      <c r="F14" s="139">
        <f t="shared" si="1"/>
        <v>28632.35</v>
      </c>
      <c r="G14" s="139">
        <f>IF(C14="","",SUMIF(Recetas!$B:$B,'Costo x Articulo'!$B14,Recetas!$H:$H))</f>
        <v>9544.116667</v>
      </c>
      <c r="H14" s="139">
        <f t="shared" si="2"/>
        <v>19088.23333</v>
      </c>
      <c r="I14" s="141">
        <v>6700.0</v>
      </c>
      <c r="J14" s="139">
        <f t="shared" si="3"/>
        <v>-2844.116667</v>
      </c>
      <c r="K14" s="142">
        <f t="shared" si="4"/>
        <v>-0.2979968462</v>
      </c>
      <c r="L14" s="138"/>
      <c r="M14" s="138"/>
      <c r="N14" s="138"/>
      <c r="O14" s="14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2.75" customHeight="1">
      <c r="A15" s="2"/>
      <c r="B15" s="137">
        <v>13.0</v>
      </c>
      <c r="C15" s="138" t="str">
        <f>TEXT(IFERROR(VLOOKUP($B15,Recetas!$B:$C,2,0),""),)</f>
        <v>Selva Negra 20 cm</v>
      </c>
      <c r="D15" s="138"/>
      <c r="E15" s="138"/>
      <c r="F15" s="139">
        <f t="shared" si="1"/>
        <v>34123.35</v>
      </c>
      <c r="G15" s="139">
        <f>IF(C15="","",SUMIF(Recetas!$B:$B,'Costo x Articulo'!$B15,Recetas!$H:$H))</f>
        <v>11374.45</v>
      </c>
      <c r="H15" s="139">
        <f t="shared" si="2"/>
        <v>22748.9</v>
      </c>
      <c r="I15" s="141">
        <v>8700.0</v>
      </c>
      <c r="J15" s="139">
        <f t="shared" si="3"/>
        <v>-2674.45</v>
      </c>
      <c r="K15" s="142">
        <f t="shared" si="4"/>
        <v>-0.2351278523</v>
      </c>
      <c r="L15" s="138"/>
      <c r="M15" s="138"/>
      <c r="N15" s="138"/>
      <c r="O15" s="14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75" customHeight="1">
      <c r="A16" s="2"/>
      <c r="B16" s="137">
        <v>14.0</v>
      </c>
      <c r="C16" s="138" t="str">
        <f>TEXT(IFERROR(VLOOKUP($B16,Recetas!$B:$C,2,0),""),)</f>
        <v>Tiramisu</v>
      </c>
      <c r="D16" s="138"/>
      <c r="E16" s="138"/>
      <c r="F16" s="139">
        <f t="shared" si="1"/>
        <v>48748.56793</v>
      </c>
      <c r="G16" s="139">
        <f>IF(C16="","",SUMIF(Recetas!$B:$B,'Costo x Articulo'!$B16,Recetas!$H:$H))</f>
        <v>16249.52264</v>
      </c>
      <c r="H16" s="139">
        <f t="shared" si="2"/>
        <v>32499.04528</v>
      </c>
      <c r="I16" s="141">
        <v>5100.0</v>
      </c>
      <c r="J16" s="139">
        <f t="shared" si="3"/>
        <v>-11149.52264</v>
      </c>
      <c r="K16" s="142">
        <f t="shared" si="4"/>
        <v>-0.6861446264</v>
      </c>
      <c r="L16" s="138"/>
      <c r="M16" s="138"/>
      <c r="N16" s="138"/>
      <c r="O16" s="14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2.75" customHeight="1">
      <c r="A17" s="2"/>
      <c r="B17" s="137">
        <v>15.0</v>
      </c>
      <c r="C17" s="138" t="str">
        <f>TEXT(IFERROR(VLOOKUP($B17,Recetas!$B:$C,2,0),""),)</f>
        <v>Cheese Cake 18cm</v>
      </c>
      <c r="D17" s="138"/>
      <c r="E17" s="138"/>
      <c r="F17" s="139">
        <f t="shared" si="1"/>
        <v>28119.29874</v>
      </c>
      <c r="G17" s="139">
        <f>IF(C17="","",SUMIF(Recetas!$B:$B,'Costo x Articulo'!$B17,Recetas!$H:$H))</f>
        <v>9373.09958</v>
      </c>
      <c r="H17" s="139">
        <f t="shared" si="2"/>
        <v>18746.19916</v>
      </c>
      <c r="I17" s="141">
        <v>4100.0</v>
      </c>
      <c r="J17" s="139">
        <f t="shared" si="3"/>
        <v>-5273.09958</v>
      </c>
      <c r="K17" s="142">
        <f t="shared" si="4"/>
        <v>-0.5625779962</v>
      </c>
      <c r="L17" s="138"/>
      <c r="M17" s="138"/>
      <c r="N17" s="138"/>
      <c r="O17" s="14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2.75" customHeight="1">
      <c r="A18" s="2"/>
      <c r="B18" s="137">
        <v>16.0</v>
      </c>
      <c r="C18" s="138" t="str">
        <f>TEXT(IFERROR(VLOOKUP($B18,Recetas!$B:$C,2,0),""),)</f>
        <v>Rogel</v>
      </c>
      <c r="D18" s="138"/>
      <c r="E18" s="138"/>
      <c r="F18" s="139">
        <f t="shared" si="1"/>
        <v>30949.15</v>
      </c>
      <c r="G18" s="139">
        <f>IF(C18="","",SUMIF(Recetas!$B:$B,'Costo x Articulo'!$B18,Recetas!$H:$H))</f>
        <v>10316.38333</v>
      </c>
      <c r="H18" s="139">
        <f t="shared" si="2"/>
        <v>20632.76667</v>
      </c>
      <c r="I18" s="141">
        <v>8300.0</v>
      </c>
      <c r="J18" s="139">
        <f t="shared" si="3"/>
        <v>-2016.383333</v>
      </c>
      <c r="K18" s="142">
        <f t="shared" si="4"/>
        <v>-0.1954544794</v>
      </c>
      <c r="L18" s="138"/>
      <c r="M18" s="138"/>
      <c r="N18" s="138"/>
      <c r="O18" s="14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2.75" customHeight="1">
      <c r="A19" s="2"/>
      <c r="B19" s="137">
        <v>17.0</v>
      </c>
      <c r="C19" s="138" t="str">
        <f>TEXT(IFERROR(VLOOKUP($B19,Recetas!$B:$C,2,0),""),)</f>
        <v>Cheese Cake DDL 18cm</v>
      </c>
      <c r="D19" s="138"/>
      <c r="E19" s="138"/>
      <c r="F19" s="139">
        <f t="shared" si="1"/>
        <v>28072.5119</v>
      </c>
      <c r="G19" s="139">
        <f>IF(C19="","",SUMIF(Recetas!$B:$B,'Costo x Articulo'!$B19,Recetas!$H:$H))</f>
        <v>9357.503968</v>
      </c>
      <c r="H19" s="139">
        <f t="shared" si="2"/>
        <v>18715.00794</v>
      </c>
      <c r="I19" s="141">
        <v>4100.0</v>
      </c>
      <c r="J19" s="139">
        <f t="shared" si="3"/>
        <v>-5257.503968</v>
      </c>
      <c r="K19" s="142">
        <f t="shared" si="4"/>
        <v>-0.5618489702</v>
      </c>
      <c r="L19" s="138"/>
      <c r="M19" s="138"/>
      <c r="N19" s="138"/>
      <c r="O19" s="14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.75" customHeight="1">
      <c r="A20" s="2"/>
      <c r="B20" s="137">
        <v>18.0</v>
      </c>
      <c r="C20" s="138" t="str">
        <f>TEXT(IFERROR(VLOOKUP($B20,Recetas!$B:$C,2,0),""),)</f>
        <v>Pastafrola</v>
      </c>
      <c r="D20" s="138"/>
      <c r="E20" s="138"/>
      <c r="F20" s="139">
        <f t="shared" si="1"/>
        <v>18075.35</v>
      </c>
      <c r="G20" s="139">
        <f>IF(C20="","",SUMIF(Recetas!$B:$B,'Costo x Articulo'!$B20,Recetas!$H:$H))</f>
        <v>6025.116667</v>
      </c>
      <c r="H20" s="139">
        <f t="shared" si="2"/>
        <v>12050.23333</v>
      </c>
      <c r="I20" s="141">
        <v>2900.0</v>
      </c>
      <c r="J20" s="139">
        <f t="shared" si="3"/>
        <v>-3125.116667</v>
      </c>
      <c r="K20" s="142">
        <f t="shared" si="4"/>
        <v>-0.5186815193</v>
      </c>
      <c r="L20" s="138"/>
      <c r="M20" s="138"/>
      <c r="N20" s="138"/>
      <c r="O20" s="14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2.75" customHeight="1">
      <c r="A21" s="2"/>
      <c r="B21" s="137">
        <v>19.0</v>
      </c>
      <c r="C21" s="138" t="str">
        <f>TEXT(IFERROR(VLOOKUP($B21,Recetas!$B:$C,2,0),""),)</f>
        <v>Tarta Ricota</v>
      </c>
      <c r="D21" s="138"/>
      <c r="E21" s="138"/>
      <c r="F21" s="139">
        <f t="shared" si="1"/>
        <v>24660.35</v>
      </c>
      <c r="G21" s="139">
        <f>IF(C21="","",SUMIF(Recetas!$B:$B,'Costo x Articulo'!$B21,Recetas!$H:$H))</f>
        <v>8220.116667</v>
      </c>
      <c r="H21" s="139">
        <f t="shared" si="2"/>
        <v>16440.23333</v>
      </c>
      <c r="I21" s="141">
        <v>4500.0</v>
      </c>
      <c r="J21" s="139">
        <f t="shared" si="3"/>
        <v>-3720.116667</v>
      </c>
      <c r="K21" s="142">
        <f t="shared" si="4"/>
        <v>-0.4525625143</v>
      </c>
      <c r="L21" s="138"/>
      <c r="M21" s="138"/>
      <c r="N21" s="138"/>
      <c r="O21" s="14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customHeight="1">
      <c r="A22" s="2"/>
      <c r="B22" s="137">
        <v>20.0</v>
      </c>
      <c r="C22" s="138" t="str">
        <f>TEXT(IFERROR(VLOOKUP($B22,Recetas!$B:$C,2,0),""),)</f>
        <v>Tarta Frutos Secos</v>
      </c>
      <c r="D22" s="138"/>
      <c r="E22" s="138"/>
      <c r="F22" s="139">
        <f t="shared" si="1"/>
        <v>27530.75</v>
      </c>
      <c r="G22" s="139">
        <f>IF(C22="","",SUMIF(Recetas!$B:$B,'Costo x Articulo'!$B22,Recetas!$H:$H))</f>
        <v>9176.916667</v>
      </c>
      <c r="H22" s="139">
        <f t="shared" si="2"/>
        <v>18353.83333</v>
      </c>
      <c r="I22" s="141">
        <v>7500.0</v>
      </c>
      <c r="J22" s="139">
        <f t="shared" si="3"/>
        <v>-1676.916667</v>
      </c>
      <c r="K22" s="142">
        <f t="shared" si="4"/>
        <v>-0.182732036</v>
      </c>
      <c r="L22" s="138"/>
      <c r="M22" s="138"/>
      <c r="N22" s="138"/>
      <c r="O22" s="14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2.75" customHeight="1">
      <c r="A23" s="2"/>
      <c r="B23" s="137">
        <v>21.0</v>
      </c>
      <c r="C23" s="138" t="str">
        <f>TEXT(IFERROR(VLOOKUP($B23,Recetas!$B:$C,2,0),""),)</f>
        <v>Alfajor Marplatense</v>
      </c>
      <c r="D23" s="138"/>
      <c r="E23" s="138"/>
      <c r="F23" s="139">
        <f t="shared" si="1"/>
        <v>27365.18</v>
      </c>
      <c r="G23" s="139">
        <f>IF(C23="","",SUMIF(Recetas!$B:$B,'Costo x Articulo'!$B23,Recetas!$H:$H))</f>
        <v>9121.726667</v>
      </c>
      <c r="H23" s="139">
        <f t="shared" si="2"/>
        <v>18243.45333</v>
      </c>
      <c r="I23" s="141">
        <v>6800.0</v>
      </c>
      <c r="J23" s="139">
        <f t="shared" si="3"/>
        <v>-2321.726667</v>
      </c>
      <c r="K23" s="142">
        <f t="shared" si="4"/>
        <v>-0.2545271034</v>
      </c>
      <c r="L23" s="138"/>
      <c r="M23" s="138"/>
      <c r="N23" s="138"/>
      <c r="O23" s="14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2.75" customHeight="1">
      <c r="A24" s="2"/>
      <c r="B24" s="137">
        <v>22.0</v>
      </c>
      <c r="C24" s="138" t="str">
        <f>TEXT(IFERROR(VLOOKUP($B24,Recetas!$B:$C,2,0),""),)</f>
        <v>Alfajor Maicena</v>
      </c>
      <c r="D24" s="138"/>
      <c r="E24" s="138"/>
      <c r="F24" s="139">
        <f t="shared" si="1"/>
        <v>16863.59</v>
      </c>
      <c r="G24" s="139">
        <f>IF(C24="","",SUMIF(Recetas!$B:$B,'Costo x Articulo'!$B24,Recetas!$H:$H))</f>
        <v>5621.196667</v>
      </c>
      <c r="H24" s="139">
        <f t="shared" si="2"/>
        <v>11242.39333</v>
      </c>
      <c r="I24" s="141">
        <v>2500.0</v>
      </c>
      <c r="J24" s="139">
        <f t="shared" si="3"/>
        <v>-3121.196667</v>
      </c>
      <c r="K24" s="142">
        <f t="shared" si="4"/>
        <v>-0.5552548419</v>
      </c>
      <c r="L24" s="138"/>
      <c r="M24" s="138"/>
      <c r="N24" s="138"/>
      <c r="O24" s="14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2.75" customHeight="1">
      <c r="A25" s="2"/>
      <c r="B25" s="137">
        <v>23.0</v>
      </c>
      <c r="C25" s="138" t="str">
        <f>TEXT(IFERROR(VLOOKUP($B25,Recetas!$B:$C,2,0),""),)</f>
        <v>Tarta de Manzana 22cm</v>
      </c>
      <c r="D25" s="139">
        <v>13000.0</v>
      </c>
      <c r="E25" s="140" t="s">
        <v>588</v>
      </c>
      <c r="F25" s="139">
        <f t="shared" si="1"/>
        <v>20118.35</v>
      </c>
      <c r="G25" s="139">
        <f>IF(C25="","",SUMIF(Recetas!$B:$B,'Costo x Articulo'!$B25,Recetas!$H:$H))</f>
        <v>6706.116667</v>
      </c>
      <c r="H25" s="139">
        <f t="shared" si="2"/>
        <v>13412.23333</v>
      </c>
      <c r="I25" s="141">
        <v>5600.0</v>
      </c>
      <c r="J25" s="139">
        <f t="shared" si="3"/>
        <v>-1106.116667</v>
      </c>
      <c r="K25" s="142">
        <f t="shared" si="4"/>
        <v>-0.1649414589</v>
      </c>
      <c r="L25" s="138"/>
      <c r="M25" s="138"/>
      <c r="N25" s="138"/>
      <c r="O25" s="14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2.75" customHeight="1">
      <c r="A26" s="2"/>
      <c r="B26" s="137">
        <v>24.0</v>
      </c>
      <c r="C26" s="138" t="str">
        <f>TEXT(IFERROR(VLOOKUP($B26,Recetas!$B:$C,2,0),""),)</f>
        <v>Chocotorta Redonda </v>
      </c>
      <c r="D26" s="138"/>
      <c r="E26" s="138"/>
      <c r="F26" s="139">
        <f t="shared" si="1"/>
        <v>48885.17857</v>
      </c>
      <c r="G26" s="139">
        <f>IF(C26="","",SUMIF(Recetas!$B:$B,'Costo x Articulo'!$B26,Recetas!$H:$H))</f>
        <v>16295.05952</v>
      </c>
      <c r="H26" s="139">
        <f t="shared" si="2"/>
        <v>32590.11905</v>
      </c>
      <c r="I26" s="141">
        <v>8100.0</v>
      </c>
      <c r="J26" s="139">
        <f t="shared" si="3"/>
        <v>-8195.059524</v>
      </c>
      <c r="K26" s="142">
        <f t="shared" si="4"/>
        <v>-0.5029168204</v>
      </c>
      <c r="L26" s="138"/>
      <c r="M26" s="138"/>
      <c r="N26" s="138"/>
      <c r="O26" s="14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2.75" customHeight="1">
      <c r="A27" s="2"/>
      <c r="B27" s="137">
        <v>25.0</v>
      </c>
      <c r="C27" s="138" t="str">
        <f>TEXT(IFERROR(VLOOKUP($B27,Recetas!$B:$C,2,0),""),)</f>
        <v>Doble  Cake</v>
      </c>
      <c r="D27" s="138"/>
      <c r="E27" s="138"/>
      <c r="F27" s="139">
        <f t="shared" si="1"/>
        <v>62970.10897</v>
      </c>
      <c r="G27" s="139">
        <f>IF(C27="","",SUMIF(Recetas!$B:$B,'Costo x Articulo'!$B27,Recetas!$H:$H))</f>
        <v>20990.03632</v>
      </c>
      <c r="H27" s="139">
        <f t="shared" si="2"/>
        <v>41980.07265</v>
      </c>
      <c r="I27" s="141">
        <v>12100.0</v>
      </c>
      <c r="J27" s="139">
        <f t="shared" si="3"/>
        <v>-8890.036325</v>
      </c>
      <c r="K27" s="142">
        <f t="shared" si="4"/>
        <v>-0.4235360143</v>
      </c>
      <c r="L27" s="138"/>
      <c r="M27" s="138"/>
      <c r="N27" s="138"/>
      <c r="O27" s="14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2.75" customHeight="1">
      <c r="A28" s="2"/>
      <c r="B28" s="137">
        <v>26.0</v>
      </c>
      <c r="C28" s="138" t="str">
        <f>TEXT(IFERROR(VLOOKUP($B28,Recetas!$B:$C,2,0),""),)</f>
        <v>Des- DIA DE LA MADRE</v>
      </c>
      <c r="D28" s="138"/>
      <c r="E28" s="138"/>
      <c r="F28" s="139">
        <f t="shared" si="1"/>
        <v>957</v>
      </c>
      <c r="G28" s="139">
        <f>IF(C28="","",SUMIF(Recetas!$B:$B,'Costo x Articulo'!$B28,Recetas!$H:$H))</f>
        <v>319</v>
      </c>
      <c r="H28" s="139">
        <f t="shared" si="2"/>
        <v>638</v>
      </c>
      <c r="I28" s="141">
        <v>1500.0</v>
      </c>
      <c r="J28" s="139">
        <f t="shared" si="3"/>
        <v>1181</v>
      </c>
      <c r="K28" s="142">
        <f t="shared" si="4"/>
        <v>3.702194357</v>
      </c>
      <c r="L28" s="138"/>
      <c r="M28" s="138"/>
      <c r="N28" s="138"/>
      <c r="O28" s="14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2.75" customHeight="1">
      <c r="A29" s="2"/>
      <c r="B29" s="137">
        <v>27.0</v>
      </c>
      <c r="C29" s="138" t="str">
        <f>TEXT(IFERROR(VLOOKUP($B29,Recetas!$B:$C,2,0),""),)</f>
        <v>Desayuno 108</v>
      </c>
      <c r="D29" s="138"/>
      <c r="E29" s="138"/>
      <c r="F29" s="139">
        <f t="shared" si="1"/>
        <v>30377.64</v>
      </c>
      <c r="G29" s="139">
        <f>IF(C29="","",SUMIF(Recetas!$B:$B,'Costo x Articulo'!$B29,Recetas!$H:$H))</f>
        <v>10125.88</v>
      </c>
      <c r="H29" s="139">
        <f t="shared" si="2"/>
        <v>20251.76</v>
      </c>
      <c r="I29" s="141">
        <v>480.0</v>
      </c>
      <c r="J29" s="139">
        <f t="shared" si="3"/>
        <v>-9645.88</v>
      </c>
      <c r="K29" s="142">
        <f t="shared" si="4"/>
        <v>-0.9525967126</v>
      </c>
      <c r="L29" s="139" t="str">
        <f>#REF!*120</f>
        <v>#REF!</v>
      </c>
      <c r="M29" s="138"/>
      <c r="N29" s="138"/>
      <c r="O29" s="14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2.75" customHeight="1">
      <c r="A30" s="2"/>
      <c r="B30" s="137">
        <v>28.0</v>
      </c>
      <c r="C30" s="138" t="str">
        <f>TEXT(IFERROR(VLOOKUP($B30,Recetas!$B:$C,2,0),""),)</f>
        <v>Cookies decoradas x 12u</v>
      </c>
      <c r="D30" s="138"/>
      <c r="E30" s="138"/>
      <c r="F30" s="139">
        <f t="shared" si="1"/>
        <v>19228</v>
      </c>
      <c r="G30" s="139">
        <f>IF(C30="","",SUMIF(Recetas!$B:$B,'Costo x Articulo'!$B30,Recetas!$H:$H))</f>
        <v>6409.333333</v>
      </c>
      <c r="H30" s="139">
        <f t="shared" si="2"/>
        <v>12818.66667</v>
      </c>
      <c r="I30" s="141">
        <v>10000.0</v>
      </c>
      <c r="J30" s="139">
        <f t="shared" si="3"/>
        <v>3590.666667</v>
      </c>
      <c r="K30" s="142">
        <f t="shared" si="4"/>
        <v>0.5602246724</v>
      </c>
      <c r="L30" s="138"/>
      <c r="M30" s="138"/>
      <c r="N30" s="138"/>
      <c r="O30" s="14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>
      <c r="A31" s="2"/>
      <c r="B31" s="137">
        <v>29.0</v>
      </c>
      <c r="C31" s="138" t="str">
        <f>TEXT(IFERROR(VLOOKUP($B31,Recetas!$B:$C,2,0),""),)</f>
        <v>Chipa 1/2 kg</v>
      </c>
      <c r="D31" s="138"/>
      <c r="E31" s="138"/>
      <c r="F31" s="139">
        <f t="shared" si="1"/>
        <v>24577</v>
      </c>
      <c r="G31" s="139">
        <f>IF(C31="","",SUMIF(Recetas!$B:$B,'Costo x Articulo'!$B31,Recetas!$H:$H))</f>
        <v>8192.333333</v>
      </c>
      <c r="H31" s="139">
        <f t="shared" si="2"/>
        <v>16384.66667</v>
      </c>
      <c r="I31" s="141">
        <v>2500.0</v>
      </c>
      <c r="J31" s="139">
        <f t="shared" si="3"/>
        <v>-5692.333333</v>
      </c>
      <c r="K31" s="142">
        <f t="shared" si="4"/>
        <v>-0.6948366359</v>
      </c>
      <c r="L31" s="138"/>
      <c r="M31" s="138"/>
      <c r="N31" s="138"/>
      <c r="O31" s="14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>
      <c r="A32" s="2"/>
      <c r="B32" s="137">
        <v>30.0</v>
      </c>
      <c r="C32" s="138" t="str">
        <f>TEXT(IFERROR(VLOOKUP($B32,Recetas!$B:$C,2,0),""),)</f>
        <v>Pan Saborizado</v>
      </c>
      <c r="D32" s="138"/>
      <c r="E32" s="138"/>
      <c r="F32" s="139">
        <f t="shared" si="1"/>
        <v>1967.1</v>
      </c>
      <c r="G32" s="139">
        <f>IF(C32="","",SUMIF(Recetas!$B:$B,'Costo x Articulo'!$B32,Recetas!$H:$H))</f>
        <v>655.7</v>
      </c>
      <c r="H32" s="139">
        <f t="shared" si="2"/>
        <v>1311.4</v>
      </c>
      <c r="I32" s="141">
        <v>800.0</v>
      </c>
      <c r="J32" s="139">
        <f t="shared" si="3"/>
        <v>144.3</v>
      </c>
      <c r="K32" s="142">
        <f t="shared" si="4"/>
        <v>0.220070154</v>
      </c>
      <c r="L32" s="138"/>
      <c r="M32" s="138"/>
      <c r="N32" s="138"/>
      <c r="O32" s="14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>
      <c r="A33" s="2"/>
      <c r="B33" s="137">
        <v>31.0</v>
      </c>
      <c r="C33" s="138" t="str">
        <f>TEXT(IFERROR(VLOOKUP($B33,Recetas!$B:$C,2,0),""),)</f>
        <v>Pan Trenzado</v>
      </c>
      <c r="D33" s="138"/>
      <c r="E33" s="138"/>
      <c r="F33" s="139">
        <f t="shared" si="1"/>
        <v>3662</v>
      </c>
      <c r="G33" s="139">
        <f>IF(C33="","",SUMIF(Recetas!$B:$B,'Costo x Articulo'!$B33,Recetas!$H:$H))</f>
        <v>1220.666667</v>
      </c>
      <c r="H33" s="139">
        <f t="shared" si="2"/>
        <v>2441.333333</v>
      </c>
      <c r="I33" s="141">
        <v>1000.0</v>
      </c>
      <c r="J33" s="139">
        <f t="shared" si="3"/>
        <v>-220.6666667</v>
      </c>
      <c r="K33" s="142">
        <f t="shared" si="4"/>
        <v>-0.1807755325</v>
      </c>
      <c r="L33" s="138"/>
      <c r="M33" s="138"/>
      <c r="N33" s="138"/>
      <c r="O33" s="14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>
      <c r="A34" s="2"/>
      <c r="B34" s="137">
        <v>32.0</v>
      </c>
      <c r="C34" s="138" t="str">
        <f>TEXT(IFERROR(VLOOKUP($B34,Recetas!$B:$C,2,0),""),)</f>
        <v>Halloween</v>
      </c>
      <c r="D34" s="138"/>
      <c r="E34" s="138"/>
      <c r="F34" s="139">
        <f t="shared" si="1"/>
        <v>22101.14167</v>
      </c>
      <c r="G34" s="139">
        <f>IF(C34="","",SUMIF(Recetas!$B:$B,'Costo x Articulo'!$B34,Recetas!$H:$H))</f>
        <v>7367.047222</v>
      </c>
      <c r="H34" s="139">
        <f t="shared" si="2"/>
        <v>14734.09444</v>
      </c>
      <c r="I34" s="141"/>
      <c r="J34" s="139" t="str">
        <f t="shared" si="3"/>
        <v/>
      </c>
      <c r="K34" s="142">
        <f t="shared" si="4"/>
        <v>0</v>
      </c>
      <c r="L34" s="138"/>
      <c r="M34" s="138"/>
      <c r="N34" s="138"/>
      <c r="O34" s="14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>
      <c r="A35" s="2"/>
      <c r="B35" s="137">
        <v>33.0</v>
      </c>
      <c r="C35" s="138" t="str">
        <f>TEXT(IFERROR(VLOOKUP($B35,Recetas!$B:$C,2,0),""),)</f>
        <v>Frambuesas Grandes</v>
      </c>
      <c r="D35" s="138"/>
      <c r="E35" s="138"/>
      <c r="F35" s="139">
        <f t="shared" si="1"/>
        <v>1112</v>
      </c>
      <c r="G35" s="139">
        <f>IF(C35="","",SUMIF(Recetas!$B:$B,'Costo x Articulo'!$B35,Recetas!$H:$H))</f>
        <v>370.6666667</v>
      </c>
      <c r="H35" s="139">
        <f t="shared" si="2"/>
        <v>741.3333333</v>
      </c>
      <c r="I35" s="141">
        <v>350.0</v>
      </c>
      <c r="J35" s="139">
        <f t="shared" si="3"/>
        <v>-20.66666667</v>
      </c>
      <c r="K35" s="142">
        <f t="shared" si="4"/>
        <v>-0.05575539568</v>
      </c>
      <c r="L35" s="138"/>
      <c r="M35" s="138"/>
      <c r="N35" s="138"/>
      <c r="O35" s="14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>
      <c r="A36" s="2"/>
      <c r="B36" s="137">
        <v>34.0</v>
      </c>
      <c r="C36" s="138" t="str">
        <f>TEXT(IFERROR(VLOOKUP($B36,Recetas!$B:$C,2,0),""),)</f>
        <v>Frambuesas chicas</v>
      </c>
      <c r="D36" s="138"/>
      <c r="E36" s="138"/>
      <c r="F36" s="139">
        <f t="shared" si="1"/>
        <v>572</v>
      </c>
      <c r="G36" s="139">
        <f>IF(C36="","",SUMIF(Recetas!$B:$B,'Costo x Articulo'!$B36,Recetas!$H:$H))</f>
        <v>190.6666667</v>
      </c>
      <c r="H36" s="139">
        <f t="shared" si="2"/>
        <v>381.3333333</v>
      </c>
      <c r="I36" s="141">
        <v>250.0</v>
      </c>
      <c r="J36" s="139">
        <f t="shared" si="3"/>
        <v>59.33333333</v>
      </c>
      <c r="K36" s="142">
        <f t="shared" si="4"/>
        <v>0.3111888112</v>
      </c>
      <c r="L36" s="138"/>
      <c r="M36" s="138"/>
      <c r="N36" s="138"/>
      <c r="O36" s="14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>
      <c r="A37" s="2"/>
      <c r="B37" s="137">
        <v>35.0</v>
      </c>
      <c r="C37" s="138" t="str">
        <f>TEXT(IFERROR(VLOOKUP($B37,Recetas!$B:$C,2,0),""),)</f>
        <v>desayuno completo</v>
      </c>
      <c r="D37" s="138"/>
      <c r="E37" s="138"/>
      <c r="F37" s="139">
        <f t="shared" si="1"/>
        <v>31093.98333</v>
      </c>
      <c r="G37" s="139">
        <f>IF(C37="","",SUMIF(Recetas!$B:$B,'Costo x Articulo'!$B37,Recetas!$H:$H))</f>
        <v>10364.66111</v>
      </c>
      <c r="H37" s="139">
        <f t="shared" si="2"/>
        <v>20729.32222</v>
      </c>
      <c r="I37" s="141">
        <v>8000.0</v>
      </c>
      <c r="J37" s="139">
        <f t="shared" si="3"/>
        <v>-2364.661111</v>
      </c>
      <c r="K37" s="142">
        <f t="shared" si="4"/>
        <v>-0.2281464957</v>
      </c>
      <c r="L37" s="138"/>
      <c r="M37" s="138"/>
      <c r="N37" s="138"/>
      <c r="O37" s="14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>
      <c r="A38" s="2"/>
      <c r="B38" s="137">
        <v>36.0</v>
      </c>
      <c r="C38" s="138" t="str">
        <f>TEXT(IFERROR(VLOOKUP($B38,Recetas!$B:$C,2,0),""),)</f>
        <v>Pan Dulce 700 gramos</v>
      </c>
      <c r="D38" s="138"/>
      <c r="E38" s="138"/>
      <c r="F38" s="139">
        <f t="shared" si="1"/>
        <v>23033.57</v>
      </c>
      <c r="G38" s="139">
        <f>IF(C38="","",SUMIF(Recetas!$B:$B,'Costo x Articulo'!$B38,Recetas!$H:$H))</f>
        <v>7677.856667</v>
      </c>
      <c r="H38" s="139">
        <f t="shared" si="2"/>
        <v>15355.71333</v>
      </c>
      <c r="I38" s="141">
        <v>5800.0</v>
      </c>
      <c r="J38" s="139">
        <f t="shared" si="3"/>
        <v>-1877.856667</v>
      </c>
      <c r="K38" s="142">
        <f t="shared" si="4"/>
        <v>-0.2445808444</v>
      </c>
      <c r="L38" s="138"/>
      <c r="M38" s="138"/>
      <c r="N38" s="138"/>
      <c r="O38" s="14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>
      <c r="A39" s="2"/>
      <c r="B39" s="137">
        <v>37.0</v>
      </c>
      <c r="C39" s="138" t="str">
        <f>TEXT(IFERROR(VLOOKUP($B39,Recetas!$B:$C,2,0),""),)</f>
        <v/>
      </c>
      <c r="D39" s="138"/>
      <c r="E39" s="138"/>
      <c r="F39" s="139">
        <f t="shared" si="1"/>
        <v>0</v>
      </c>
      <c r="G39" s="139" t="str">
        <f>IF(C39="","",SUMIF(Recetas!$B:$B,'Costo x Articulo'!$B39,Recetas!$H:$H))</f>
        <v/>
      </c>
      <c r="H39" s="139">
        <f t="shared" si="2"/>
        <v>0</v>
      </c>
      <c r="I39" s="141">
        <v>1400.0</v>
      </c>
      <c r="J39" s="139">
        <f t="shared" si="3"/>
        <v>1400</v>
      </c>
      <c r="K39" s="142" t="str">
        <f t="shared" si="4"/>
        <v/>
      </c>
      <c r="L39" s="138"/>
      <c r="M39" s="138"/>
      <c r="N39" s="138"/>
      <c r="O39" s="14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>
      <c r="A40" s="2"/>
      <c r="B40" s="137">
        <v>38.0</v>
      </c>
      <c r="C40" s="138" t="str">
        <f>TEXT(IFERROR(VLOOKUP($B40,Recetas!$B:$C,2,0),""),)</f>
        <v>Pan Dulce 1 KG</v>
      </c>
      <c r="D40" s="138"/>
      <c r="E40" s="138"/>
      <c r="F40" s="139">
        <f t="shared" si="1"/>
        <v>20572.82</v>
      </c>
      <c r="G40" s="139">
        <f>IF(C40="","",SUMIF(Recetas!$B:$B,'Costo x Articulo'!$B40,Recetas!$H:$H))</f>
        <v>6857.606667</v>
      </c>
      <c r="H40" s="139">
        <f t="shared" si="2"/>
        <v>13715.21333</v>
      </c>
      <c r="I40" s="141">
        <v>1600.0</v>
      </c>
      <c r="J40" s="139">
        <f t="shared" si="3"/>
        <v>-5257.606667</v>
      </c>
      <c r="K40" s="142">
        <f t="shared" si="4"/>
        <v>-0.766682448</v>
      </c>
      <c r="L40" s="138"/>
      <c r="M40" s="138"/>
      <c r="N40" s="138"/>
      <c r="O40" s="14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>
      <c r="A41" s="2"/>
      <c r="B41" s="137">
        <v>39.0</v>
      </c>
      <c r="C41" s="138" t="str">
        <f>TEXT(IFERROR(VLOOKUP($B41,Recetas!$B:$C,2,0),""),)</f>
        <v>box dia del medico</v>
      </c>
      <c r="D41" s="138"/>
      <c r="E41" s="138"/>
      <c r="F41" s="139">
        <f t="shared" si="1"/>
        <v>19274.2</v>
      </c>
      <c r="G41" s="139">
        <f>IF(C41="","",SUMIF(Recetas!$B:$B,'Costo x Articulo'!$B41,Recetas!$H:$H))</f>
        <v>6424.733333</v>
      </c>
      <c r="H41" s="139">
        <f t="shared" si="2"/>
        <v>12849.46667</v>
      </c>
      <c r="I41" s="141">
        <v>1900.0</v>
      </c>
      <c r="J41" s="139">
        <f t="shared" si="3"/>
        <v>-4524.733333</v>
      </c>
      <c r="K41" s="142">
        <f t="shared" si="4"/>
        <v>-0.7042678814</v>
      </c>
      <c r="L41" s="138"/>
      <c r="M41" s="138"/>
      <c r="N41" s="138"/>
      <c r="O41" s="14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>
      <c r="A42" s="2"/>
      <c r="B42" s="137">
        <v>40.0</v>
      </c>
      <c r="C42" s="138" t="str">
        <f>TEXT(IFERROR(VLOOKUP($B42,Recetas!$B:$C,2,0),""),)</f>
        <v>San Valentin "te amo"</v>
      </c>
      <c r="D42" s="138"/>
      <c r="E42" s="138"/>
      <c r="F42" s="139">
        <f t="shared" si="1"/>
        <v>21454.28571</v>
      </c>
      <c r="G42" s="139">
        <f>IF(C42="","",SUMIF(Recetas!$B:$B,'Costo x Articulo'!$B42,Recetas!$H:$H))</f>
        <v>7151.428571</v>
      </c>
      <c r="H42" s="139">
        <f t="shared" si="2"/>
        <v>14302.85714</v>
      </c>
      <c r="I42" s="141">
        <v>900.0</v>
      </c>
      <c r="J42" s="139">
        <f t="shared" si="3"/>
        <v>-6251.428571</v>
      </c>
      <c r="K42" s="142">
        <f t="shared" si="4"/>
        <v>-0.8741510188</v>
      </c>
      <c r="L42" s="138"/>
      <c r="M42" s="138"/>
      <c r="N42" s="138"/>
      <c r="O42" s="14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>
      <c r="A43" s="2"/>
      <c r="B43" s="137">
        <v>41.0</v>
      </c>
      <c r="C43" s="138" t="str">
        <f>TEXT(IFERROR(VLOOKUP($B43,Recetas!$B:$C,2,0),""),)</f>
        <v>San Valentin </v>
      </c>
      <c r="D43" s="138"/>
      <c r="E43" s="138"/>
      <c r="F43" s="139">
        <f t="shared" si="1"/>
        <v>35788.29546</v>
      </c>
      <c r="G43" s="139">
        <f>IF(C43="","",SUMIF(Recetas!$B:$B,'Costo x Articulo'!$B43,Recetas!$H:$H))</f>
        <v>11929.43182</v>
      </c>
      <c r="H43" s="139">
        <f t="shared" si="2"/>
        <v>23858.86364</v>
      </c>
      <c r="I43" s="141">
        <v>2100.0</v>
      </c>
      <c r="J43" s="139">
        <f t="shared" si="3"/>
        <v>-9829.431819</v>
      </c>
      <c r="K43" s="142">
        <f t="shared" si="4"/>
        <v>-0.823964793</v>
      </c>
      <c r="L43" s="138"/>
      <c r="M43" s="138"/>
      <c r="N43" s="138"/>
      <c r="O43" s="14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6.5" customHeight="1">
      <c r="A44" s="2"/>
      <c r="B44" s="137">
        <v>42.0</v>
      </c>
      <c r="C44" s="138" t="str">
        <f>TEXT(IFERROR(VLOOKUP($B44,Recetas!$B:$C,2,0),""),)</f>
        <v>Cheescake 22cm</v>
      </c>
      <c r="D44" s="139">
        <v>20000.0</v>
      </c>
      <c r="E44" s="140" t="s">
        <v>588</v>
      </c>
      <c r="F44" s="139">
        <f t="shared" si="1"/>
        <v>45749.79552</v>
      </c>
      <c r="G44" s="139">
        <f>IF(C44="","",SUMIF(Recetas!$B:$B,'Costo x Articulo'!$B44,Recetas!$H:$H))</f>
        <v>15249.93184</v>
      </c>
      <c r="H44" s="139">
        <f t="shared" si="2"/>
        <v>30499.86368</v>
      </c>
      <c r="I44" s="141">
        <v>8500.0</v>
      </c>
      <c r="J44" s="139">
        <f t="shared" si="3"/>
        <v>-6749.931839</v>
      </c>
      <c r="K44" s="142">
        <f t="shared" si="4"/>
        <v>-0.4426204596</v>
      </c>
      <c r="L44" s="138"/>
      <c r="M44" s="138"/>
      <c r="N44" s="138"/>
      <c r="O44" s="14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>
      <c r="A45" s="2"/>
      <c r="B45" s="137">
        <v>43.0</v>
      </c>
      <c r="C45" s="138" t="str">
        <f>TEXT(IFERROR(VLOOKUP($B45,Recetas!$B:$C,2,0),""),)</f>
        <v>desayuno opcion 3</v>
      </c>
      <c r="D45" s="138"/>
      <c r="E45" s="138"/>
      <c r="F45" s="139">
        <f t="shared" si="1"/>
        <v>42628.82286</v>
      </c>
      <c r="G45" s="139">
        <f>IF(C45="","",SUMIF(Recetas!$B:$B,'Costo x Articulo'!$B45,Recetas!$H:$H))</f>
        <v>14209.60762</v>
      </c>
      <c r="H45" s="139">
        <f t="shared" si="2"/>
        <v>28419.21524</v>
      </c>
      <c r="I45" s="141">
        <v>8200.0</v>
      </c>
      <c r="J45" s="139">
        <f t="shared" si="3"/>
        <v>-6009.607619</v>
      </c>
      <c r="K45" s="142">
        <f t="shared" si="4"/>
        <v>-0.4229256557</v>
      </c>
      <c r="L45" s="138"/>
      <c r="M45" s="138"/>
      <c r="N45" s="138"/>
      <c r="O45" s="14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2.75" customHeight="1">
      <c r="A46" s="2"/>
      <c r="B46" s="137">
        <v>44.0</v>
      </c>
      <c r="C46" s="138" t="str">
        <f>TEXT(IFERROR(VLOOKUP($B46,Recetas!$B:$C,2,0),""),)</f>
        <v>Bizcho 20 cm pasta ballina</v>
      </c>
      <c r="D46" s="138"/>
      <c r="E46" s="138"/>
      <c r="F46" s="139">
        <f t="shared" si="1"/>
        <v>49592.8</v>
      </c>
      <c r="G46" s="139">
        <f>IF(C46="","",SUMIF(Recetas!$B:$B,'Costo x Articulo'!$B46,Recetas!$H:$H))</f>
        <v>16530.93333</v>
      </c>
      <c r="H46" s="139">
        <f t="shared" si="2"/>
        <v>33061.86667</v>
      </c>
      <c r="I46" s="141">
        <v>9600.0</v>
      </c>
      <c r="J46" s="139">
        <f t="shared" si="3"/>
        <v>-6930.933333</v>
      </c>
      <c r="K46" s="142">
        <f t="shared" si="4"/>
        <v>-0.4192705393</v>
      </c>
      <c r="L46" s="138"/>
      <c r="M46" s="138"/>
      <c r="N46" s="138"/>
      <c r="O46" s="14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2.75" customHeight="1">
      <c r="A47" s="2"/>
      <c r="B47" s="137">
        <v>45.0</v>
      </c>
      <c r="C47" s="138" t="str">
        <f>TEXT(IFERROR(VLOOKUP($B47,Recetas!$B:$C,2,0),""),)</f>
        <v>brownie 2 number cake</v>
      </c>
      <c r="D47" s="138"/>
      <c r="E47" s="138"/>
      <c r="F47" s="139">
        <f t="shared" si="1"/>
        <v>76313.6</v>
      </c>
      <c r="G47" s="139">
        <f>IF(C47="","",SUMIF(Recetas!$B:$B,'Costo x Articulo'!$B47,Recetas!$H:$H))</f>
        <v>25437.86667</v>
      </c>
      <c r="H47" s="139">
        <f t="shared" si="2"/>
        <v>50875.73333</v>
      </c>
      <c r="I47" s="141">
        <v>18600.0</v>
      </c>
      <c r="J47" s="139">
        <f t="shared" si="3"/>
        <v>-6837.866667</v>
      </c>
      <c r="K47" s="142">
        <f t="shared" si="4"/>
        <v>-0.2688066085</v>
      </c>
      <c r="L47" s="138"/>
      <c r="M47" s="138"/>
      <c r="N47" s="138"/>
      <c r="O47" s="14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2.75" customHeight="1">
      <c r="A48" s="2"/>
      <c r="B48" s="137">
        <v>46.0</v>
      </c>
      <c r="C48" s="138" t="str">
        <f>TEXT(IFERROR(VLOOKUP($B48,Recetas!$B:$C,2,0),""),)</f>
        <v>Huevos Rellenos N15 chocotorta</v>
      </c>
      <c r="D48" s="138"/>
      <c r="E48" s="138"/>
      <c r="F48" s="139">
        <f t="shared" si="1"/>
        <v>22534.57143</v>
      </c>
      <c r="G48" s="139">
        <f>IF(C48="","",SUMIF(Recetas!$B:$B,'Costo x Articulo'!$B48,Recetas!$H:$H))</f>
        <v>7511.52381</v>
      </c>
      <c r="H48" s="139">
        <f t="shared" si="2"/>
        <v>15023.04762</v>
      </c>
      <c r="I48" s="141">
        <v>3200.0</v>
      </c>
      <c r="J48" s="139">
        <f t="shared" si="3"/>
        <v>-4311.52381</v>
      </c>
      <c r="K48" s="142">
        <f t="shared" si="4"/>
        <v>-0.5739879043</v>
      </c>
      <c r="L48" s="139">
        <f>I48*2</f>
        <v>6400</v>
      </c>
      <c r="M48" s="139">
        <v>5600.0</v>
      </c>
      <c r="N48" s="139">
        <f>M48/2</f>
        <v>2800</v>
      </c>
      <c r="O48" s="144">
        <f>N48-G48</f>
        <v>-4711.52381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2.75" customHeight="1">
      <c r="A49" s="2"/>
      <c r="B49" s="137">
        <v>47.0</v>
      </c>
      <c r="C49" s="138" t="str">
        <f>TEXT(IFERROR(VLOOKUP($B49,Recetas!$B:$C,2,0),""),)</f>
        <v>Pan de Molde de Salvado</v>
      </c>
      <c r="D49" s="138"/>
      <c r="E49" s="138"/>
      <c r="F49" s="139">
        <f t="shared" si="1"/>
        <v>3675</v>
      </c>
      <c r="G49" s="139">
        <f>IF(C49="","",SUMIF(Recetas!$B:$B,'Costo x Articulo'!$B49,Recetas!$H:$H))</f>
        <v>1225</v>
      </c>
      <c r="H49" s="139">
        <f t="shared" si="2"/>
        <v>2450</v>
      </c>
      <c r="I49" s="141">
        <v>350.0</v>
      </c>
      <c r="J49" s="139">
        <f t="shared" si="3"/>
        <v>-875</v>
      </c>
      <c r="K49" s="142">
        <f t="shared" si="4"/>
        <v>-0.7142857143</v>
      </c>
      <c r="L49" s="138"/>
      <c r="M49" s="138"/>
      <c r="N49" s="138"/>
      <c r="O49" s="14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2.75" customHeight="1">
      <c r="A50" s="2"/>
      <c r="B50" s="137">
        <v>48.0</v>
      </c>
      <c r="C50" s="138" t="str">
        <f>TEXT(IFERROR(VLOOKUP($B50,Recetas!$B:$C,2,0),""),)</f>
        <v>Ferrero Rocher 20cm</v>
      </c>
      <c r="D50" s="138"/>
      <c r="E50" s="138"/>
      <c r="F50" s="139">
        <f t="shared" si="1"/>
        <v>48245.00952</v>
      </c>
      <c r="G50" s="139">
        <f>IF(C50="","",SUMIF(Recetas!$B:$B,'Costo x Articulo'!$B50,Recetas!$H:$H))</f>
        <v>16081.66984</v>
      </c>
      <c r="H50" s="139">
        <f t="shared" si="2"/>
        <v>32163.33968</v>
      </c>
      <c r="I50" s="141">
        <v>8000.0</v>
      </c>
      <c r="J50" s="139">
        <f t="shared" si="3"/>
        <v>-8081.669841</v>
      </c>
      <c r="K50" s="142">
        <f t="shared" si="4"/>
        <v>-0.5025392214</v>
      </c>
      <c r="L50" s="138"/>
      <c r="M50" s="138"/>
      <c r="N50" s="138"/>
      <c r="O50" s="14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2.75" customHeight="1">
      <c r="A51" s="2"/>
      <c r="B51" s="137">
        <v>49.0</v>
      </c>
      <c r="C51" s="138" t="str">
        <f>TEXT(IFERROR(VLOOKUP($B51,Recetas!$B:$C,2,0),""),)</f>
        <v>Torta Buttercream 12 cm</v>
      </c>
      <c r="D51" s="138"/>
      <c r="E51" s="138"/>
      <c r="F51" s="139">
        <f t="shared" si="1"/>
        <v>43469.72</v>
      </c>
      <c r="G51" s="139">
        <f>IF(C51="","",SUMIF(Recetas!$B:$B,'Costo x Articulo'!$B51,Recetas!$H:$H))</f>
        <v>14489.90667</v>
      </c>
      <c r="H51" s="139">
        <f t="shared" si="2"/>
        <v>28979.81333</v>
      </c>
      <c r="I51" s="141">
        <v>11600.0</v>
      </c>
      <c r="J51" s="139">
        <f t="shared" si="3"/>
        <v>-2889.906667</v>
      </c>
      <c r="K51" s="142">
        <f t="shared" si="4"/>
        <v>-0.1994427385</v>
      </c>
      <c r="L51" s="138"/>
      <c r="M51" s="138"/>
      <c r="N51" s="138"/>
      <c r="O51" s="14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2.75" customHeight="1">
      <c r="A52" s="2"/>
      <c r="B52" s="137">
        <v>50.0</v>
      </c>
      <c r="C52" s="138" t="str">
        <f>TEXT(IFERROR(VLOOKUP($B52,Recetas!$B:$C,2,0),""),)</f>
        <v>Balcarce 16 cm </v>
      </c>
      <c r="D52" s="138"/>
      <c r="E52" s="138"/>
      <c r="F52" s="139">
        <f t="shared" si="1"/>
        <v>45444.72</v>
      </c>
      <c r="G52" s="139">
        <f>IF(C52="","",SUMIF(Recetas!$B:$B,'Costo x Articulo'!$B52,Recetas!$H:$H))</f>
        <v>15148.24</v>
      </c>
      <c r="H52" s="139">
        <f t="shared" si="2"/>
        <v>30296.48</v>
      </c>
      <c r="I52" s="141">
        <v>7100.0</v>
      </c>
      <c r="J52" s="139">
        <f t="shared" si="3"/>
        <v>-8048.24</v>
      </c>
      <c r="K52" s="142">
        <f t="shared" si="4"/>
        <v>-0.5312986855</v>
      </c>
      <c r="L52" s="138"/>
      <c r="M52" s="138"/>
      <c r="N52" s="138"/>
      <c r="O52" s="14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2.75" customHeight="1">
      <c r="A53" s="2"/>
      <c r="B53" s="137">
        <v>51.0</v>
      </c>
      <c r="C53" s="138" t="str">
        <f>TEXT(IFERROR(VLOOKUP($B53,Recetas!$B:$C,2,0),""),)</f>
        <v>Panes Saborizados 740 gr</v>
      </c>
      <c r="D53" s="138"/>
      <c r="E53" s="138"/>
      <c r="F53" s="139">
        <f t="shared" si="1"/>
        <v>4204.8</v>
      </c>
      <c r="G53" s="139">
        <f>IF(C53="","",SUMIF(Recetas!$B:$B,'Costo x Articulo'!$B53,Recetas!$H:$H))</f>
        <v>1401.6</v>
      </c>
      <c r="H53" s="139">
        <f t="shared" si="2"/>
        <v>2803.2</v>
      </c>
      <c r="I53" s="141">
        <v>1000.0</v>
      </c>
      <c r="J53" s="139">
        <f t="shared" si="3"/>
        <v>-401.6</v>
      </c>
      <c r="K53" s="142">
        <f t="shared" si="4"/>
        <v>-0.2865296804</v>
      </c>
      <c r="L53" s="138"/>
      <c r="M53" s="138"/>
      <c r="N53" s="138"/>
      <c r="O53" s="14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2.75" customHeight="1">
      <c r="A54" s="2"/>
      <c r="B54" s="137">
        <v>52.0</v>
      </c>
      <c r="C54" s="138" t="str">
        <f>TEXT(IFERROR(VLOOKUP($B54,Recetas!$B:$C,2,0),""),)</f>
        <v>Mini Budin (redondo) citricio </v>
      </c>
      <c r="D54" s="138"/>
      <c r="E54" s="138"/>
      <c r="F54" s="139">
        <f t="shared" si="1"/>
        <v>7536.1</v>
      </c>
      <c r="G54" s="139">
        <f>IF(C54="","",SUMIF(Recetas!$B:$B,'Costo x Articulo'!$B54,Recetas!$H:$H))</f>
        <v>2512.033333</v>
      </c>
      <c r="H54" s="139">
        <f t="shared" si="2"/>
        <v>5024.066667</v>
      </c>
      <c r="I54" s="141">
        <v>2100.0</v>
      </c>
      <c r="J54" s="139">
        <f t="shared" si="3"/>
        <v>-412.0333333</v>
      </c>
      <c r="K54" s="142">
        <f t="shared" si="4"/>
        <v>-0.164023832</v>
      </c>
      <c r="L54" s="138"/>
      <c r="M54" s="138"/>
      <c r="N54" s="138"/>
      <c r="O54" s="14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2.75" customHeight="1">
      <c r="A55" s="2"/>
      <c r="B55" s="137">
        <v>53.0</v>
      </c>
      <c r="C55" s="138" t="str">
        <f>TEXT(IFERROR(VLOOKUP($B55,Recetas!$B:$C,2,0),""),)</f>
        <v>Torta brownie 20cm frutos rojos</v>
      </c>
      <c r="D55" s="138"/>
      <c r="E55" s="138"/>
      <c r="F55" s="139">
        <f t="shared" si="1"/>
        <v>43719.98333</v>
      </c>
      <c r="G55" s="139">
        <f>IF(C55="","",SUMIF(Recetas!$B:$B,'Costo x Articulo'!$B55,Recetas!$H:$H))</f>
        <v>14573.32778</v>
      </c>
      <c r="H55" s="139">
        <f t="shared" si="2"/>
        <v>29146.65556</v>
      </c>
      <c r="I55" s="141">
        <v>9400.0</v>
      </c>
      <c r="J55" s="139">
        <f t="shared" si="3"/>
        <v>-5173.327778</v>
      </c>
      <c r="K55" s="142">
        <f t="shared" si="4"/>
        <v>-0.3549860304</v>
      </c>
      <c r="L55" s="138"/>
      <c r="M55" s="138"/>
      <c r="N55" s="138"/>
      <c r="O55" s="14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2.75" customHeight="1">
      <c r="A56" s="2"/>
      <c r="B56" s="137">
        <v>54.0</v>
      </c>
      <c r="C56" s="138" t="str">
        <f>TEXT(IFERROR(VLOOKUP($B56,Recetas!$B:$C,2,0),""),)</f>
        <v>Number Cake 1 número </v>
      </c>
      <c r="D56" s="138"/>
      <c r="E56" s="138"/>
      <c r="F56" s="139">
        <f t="shared" si="1"/>
        <v>45558.1</v>
      </c>
      <c r="G56" s="139">
        <f>IF(C56="","",SUMIF(Recetas!$B:$B,'Costo x Articulo'!$B56,Recetas!$H:$H))</f>
        <v>15186.03333</v>
      </c>
      <c r="H56" s="139">
        <f t="shared" si="2"/>
        <v>30372.06667</v>
      </c>
      <c r="I56" s="141">
        <v>15000.0</v>
      </c>
      <c r="J56" s="139">
        <f t="shared" si="3"/>
        <v>-186.0333333</v>
      </c>
      <c r="K56" s="142">
        <f t="shared" si="4"/>
        <v>-0.01225029139</v>
      </c>
      <c r="L56" s="138"/>
      <c r="M56" s="138"/>
      <c r="N56" s="138"/>
      <c r="O56" s="14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2.75" customHeight="1">
      <c r="A57" s="2"/>
      <c r="B57" s="137">
        <v>55.0</v>
      </c>
      <c r="C57" s="138" t="str">
        <f>TEXT(IFERROR(VLOOKUP($B57,Recetas!$B:$C,2,0),""),)</f>
        <v>box pasteleros </v>
      </c>
      <c r="D57" s="138"/>
      <c r="E57" s="138"/>
      <c r="F57" s="139">
        <f t="shared" si="1"/>
        <v>11398.22</v>
      </c>
      <c r="G57" s="139">
        <f>IF(C57="","",SUMIF(Recetas!$B:$B,'Costo x Articulo'!$B57,Recetas!$H:$H))</f>
        <v>3799.406667</v>
      </c>
      <c r="H57" s="139">
        <f t="shared" si="2"/>
        <v>7598.813333</v>
      </c>
      <c r="I57" s="141">
        <v>1100.0</v>
      </c>
      <c r="J57" s="139">
        <f t="shared" si="3"/>
        <v>-2699.406667</v>
      </c>
      <c r="K57" s="142">
        <f t="shared" si="4"/>
        <v>-0.7104811102</v>
      </c>
      <c r="L57" s="138"/>
      <c r="M57" s="138"/>
      <c r="N57" s="138"/>
      <c r="O57" s="14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2.75" customHeight="1">
      <c r="A58" s="2"/>
      <c r="B58" s="137">
        <v>56.0</v>
      </c>
      <c r="C58" s="138" t="str">
        <f>TEXT(IFERROR(VLOOKUP($B58,Recetas!$B:$C,2,0),""),)</f>
        <v>Box dia del Padre</v>
      </c>
      <c r="D58" s="138"/>
      <c r="E58" s="138"/>
      <c r="F58" s="139">
        <f t="shared" si="1"/>
        <v>3274.4</v>
      </c>
      <c r="G58" s="139">
        <f>IF(C58="","",SUMIF(Recetas!$B:$B,'Costo x Articulo'!$B58,Recetas!$H:$H))</f>
        <v>1091.466667</v>
      </c>
      <c r="H58" s="139">
        <f t="shared" si="2"/>
        <v>2182.933333</v>
      </c>
      <c r="I58" s="141">
        <v>600.0</v>
      </c>
      <c r="J58" s="139">
        <f t="shared" si="3"/>
        <v>-491.4666667</v>
      </c>
      <c r="K58" s="142">
        <f t="shared" si="4"/>
        <v>-0.4502809675</v>
      </c>
      <c r="L58" s="138"/>
      <c r="M58" s="138"/>
      <c r="N58" s="138"/>
      <c r="O58" s="14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2.75" customHeight="1">
      <c r="A59" s="2"/>
      <c r="B59" s="137">
        <v>57.0</v>
      </c>
      <c r="C59" s="138" t="str">
        <f>TEXT(IFERROR(VLOOKUP($B59,Recetas!$B:$C,2,0),""),)</f>
        <v>Grisines</v>
      </c>
      <c r="D59" s="138"/>
      <c r="E59" s="138"/>
      <c r="F59" s="139">
        <f t="shared" si="1"/>
        <v>1777.5</v>
      </c>
      <c r="G59" s="139">
        <f>IF(C59="","",SUMIF(Recetas!$B:$B,'Costo x Articulo'!$B59,Recetas!$H:$H))</f>
        <v>592.5</v>
      </c>
      <c r="H59" s="139">
        <f t="shared" si="2"/>
        <v>1185</v>
      </c>
      <c r="I59" s="141">
        <v>250.0</v>
      </c>
      <c r="J59" s="139">
        <f t="shared" si="3"/>
        <v>-342.5</v>
      </c>
      <c r="K59" s="142">
        <f t="shared" si="4"/>
        <v>-0.5780590717</v>
      </c>
      <c r="L59" s="138"/>
      <c r="M59" s="138"/>
      <c r="N59" s="138"/>
      <c r="O59" s="14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2.75" customHeight="1">
      <c r="A60" s="2"/>
      <c r="B60" s="137">
        <v>58.0</v>
      </c>
      <c r="C60" s="138" t="str">
        <f>TEXT(IFERROR(VLOOKUP($B60,Recetas!$B:$C,2,0),""),)</f>
        <v>Pastelitos</v>
      </c>
      <c r="D60" s="138"/>
      <c r="E60" s="138"/>
      <c r="F60" s="139">
        <f t="shared" si="1"/>
        <v>23565</v>
      </c>
      <c r="G60" s="139">
        <f>IF(C60="","",SUMIF(Recetas!$B:$B,'Costo x Articulo'!$B60,Recetas!$H:$H))</f>
        <v>7855</v>
      </c>
      <c r="H60" s="139">
        <f t="shared" si="2"/>
        <v>15710</v>
      </c>
      <c r="I60" s="141">
        <v>3600.0</v>
      </c>
      <c r="J60" s="139">
        <f t="shared" si="3"/>
        <v>-4255</v>
      </c>
      <c r="K60" s="142">
        <f t="shared" si="4"/>
        <v>-0.5416931891</v>
      </c>
      <c r="L60" s="138"/>
      <c r="M60" s="138"/>
      <c r="N60" s="138"/>
      <c r="O60" s="14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2.75" customHeight="1">
      <c r="A61" s="2"/>
      <c r="B61" s="137">
        <v>59.0</v>
      </c>
      <c r="C61" s="138" t="str">
        <f>TEXT(IFERROR(VLOOKUP($B61,Recetas!$B:$C,2,0),""),)</f>
        <v>Ferrero Rocher 16cm</v>
      </c>
      <c r="D61" s="138"/>
      <c r="E61" s="138"/>
      <c r="F61" s="139">
        <f t="shared" si="1"/>
        <v>57330.30952</v>
      </c>
      <c r="G61" s="139">
        <f>IF(C61="","",SUMIF(Recetas!$B:$B,'Costo x Articulo'!$B61,Recetas!$H:$H))</f>
        <v>19110.10317</v>
      </c>
      <c r="H61" s="139">
        <f t="shared" si="2"/>
        <v>38220.20635</v>
      </c>
      <c r="I61" s="141">
        <v>8600.0</v>
      </c>
      <c r="J61" s="139">
        <f t="shared" si="3"/>
        <v>-10510.10317</v>
      </c>
      <c r="K61" s="142">
        <f t="shared" si="4"/>
        <v>-0.5499762654</v>
      </c>
      <c r="L61" s="138"/>
      <c r="M61" s="138"/>
      <c r="N61" s="138"/>
      <c r="O61" s="14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2.75" customHeight="1">
      <c r="A62" s="2"/>
      <c r="B62" s="137">
        <v>60.0</v>
      </c>
      <c r="C62" s="138" t="str">
        <f>TEXT(IFERROR(VLOOKUP($B62,Recetas!$B:$C,2,0),""),)</f>
        <v>Drip Cake 16 Cm</v>
      </c>
      <c r="D62" s="138"/>
      <c r="E62" s="138"/>
      <c r="F62" s="139">
        <f t="shared" si="1"/>
        <v>70821</v>
      </c>
      <c r="G62" s="139">
        <f>IF(C62="","",SUMIF(Recetas!$B:$B,'Costo x Articulo'!$B62,Recetas!$H:$H))</f>
        <v>23607</v>
      </c>
      <c r="H62" s="139">
        <f t="shared" si="2"/>
        <v>47214</v>
      </c>
      <c r="I62" s="141">
        <v>10100.0</v>
      </c>
      <c r="J62" s="139">
        <f t="shared" si="3"/>
        <v>-13507</v>
      </c>
      <c r="K62" s="142">
        <f t="shared" si="4"/>
        <v>-0.5721607998</v>
      </c>
      <c r="L62" s="138"/>
      <c r="M62" s="138"/>
      <c r="N62" s="138"/>
      <c r="O62" s="14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2.75" customHeight="1">
      <c r="A63" s="2"/>
      <c r="B63" s="137">
        <v>61.0</v>
      </c>
      <c r="C63" s="138" t="str">
        <f>TEXT(IFERROR(VLOOKUP($B63,Recetas!$B:$C,2,0),""),)</f>
        <v>Pan Dulce OREO kilo</v>
      </c>
      <c r="D63" s="138"/>
      <c r="E63" s="138"/>
      <c r="F63" s="139">
        <f t="shared" si="1"/>
        <v>31194</v>
      </c>
      <c r="G63" s="139">
        <f>IF(C63="","",SUMIF(Recetas!$B:$B,'Costo x Articulo'!$B63,Recetas!$H:$H))</f>
        <v>10398</v>
      </c>
      <c r="H63" s="139">
        <f t="shared" si="2"/>
        <v>20796</v>
      </c>
      <c r="I63" s="141">
        <v>2000.0</v>
      </c>
      <c r="J63" s="139">
        <f t="shared" si="3"/>
        <v>-8398</v>
      </c>
      <c r="K63" s="142">
        <f t="shared" si="4"/>
        <v>-0.8076553183</v>
      </c>
      <c r="L63" s="138"/>
      <c r="M63" s="138"/>
      <c r="N63" s="138"/>
      <c r="O63" s="14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2.75" customHeight="1">
      <c r="A64" s="2"/>
      <c r="B64" s="137">
        <v>62.0</v>
      </c>
      <c r="C64" s="138" t="str">
        <f>TEXT(IFERROR(VLOOKUP($B64,Recetas!$B:$C,2,0),""),)</f>
        <v>buttercream 20  cm </v>
      </c>
      <c r="D64" s="145">
        <v>35000.0</v>
      </c>
      <c r="E64" s="138"/>
      <c r="F64" s="139">
        <f t="shared" si="1"/>
        <v>51441</v>
      </c>
      <c r="G64" s="139">
        <f>IF(C64="","",SUMIF(Recetas!$B:$B,'Costo x Articulo'!$B64,Recetas!$H:$H))</f>
        <v>17147</v>
      </c>
      <c r="H64" s="139">
        <f t="shared" si="2"/>
        <v>34294</v>
      </c>
      <c r="I64" s="141">
        <v>14150.0</v>
      </c>
      <c r="J64" s="139">
        <f t="shared" si="3"/>
        <v>-2997</v>
      </c>
      <c r="K64" s="142">
        <f t="shared" si="4"/>
        <v>-0.1747827608</v>
      </c>
      <c r="L64" s="138"/>
      <c r="M64" s="138"/>
      <c r="N64" s="138"/>
      <c r="O64" s="14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1">
      <c r="A65" s="2"/>
      <c r="B65" s="137">
        <v>63.0</v>
      </c>
      <c r="C65" s="138" t="str">
        <f>TEXT(IFERROR(VLOOKUP($B65,Recetas!$B:$C,2,0),""),)</f>
        <v/>
      </c>
      <c r="D65" s="138"/>
      <c r="E65" s="138"/>
      <c r="F65" s="139">
        <f t="shared" si="1"/>
        <v>0</v>
      </c>
      <c r="G65" s="139" t="str">
        <f>IF(C65="","",SUMIF(Recetas!$B:$B,'Costo x Articulo'!$B65,Recetas!$H:$H))</f>
        <v/>
      </c>
      <c r="H65" s="139">
        <f t="shared" si="2"/>
        <v>0</v>
      </c>
      <c r="I65" s="141">
        <v>24950.0</v>
      </c>
      <c r="J65" s="139">
        <f t="shared" si="3"/>
        <v>24950</v>
      </c>
      <c r="K65" s="142" t="str">
        <f t="shared" si="4"/>
        <v/>
      </c>
      <c r="L65" s="138"/>
      <c r="M65" s="138"/>
      <c r="N65" s="138"/>
      <c r="O65" s="14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>
      <c r="A66" s="2"/>
      <c r="B66" s="137">
        <v>64.0</v>
      </c>
      <c r="C66" s="138" t="str">
        <f>TEXT(IFERROR(VLOOKUP($B66,Recetas!$B:$C,2,0),""),)</f>
        <v>MINI CHEESCAKE </v>
      </c>
      <c r="D66" s="138"/>
      <c r="E66" s="138"/>
      <c r="F66" s="139">
        <f t="shared" si="1"/>
        <v>4477.47444</v>
      </c>
      <c r="G66" s="139">
        <f>IF(C66="","",SUMIF(Recetas!$B:$B,'Costo x Articulo'!$B66,Recetas!$H:$H))</f>
        <v>1492.49148</v>
      </c>
      <c r="H66" s="139">
        <f t="shared" si="2"/>
        <v>2984.98296</v>
      </c>
      <c r="I66" s="141"/>
      <c r="J66" s="139" t="str">
        <f t="shared" si="3"/>
        <v/>
      </c>
      <c r="K66" s="142">
        <f t="shared" si="4"/>
        <v>0</v>
      </c>
      <c r="L66" s="138"/>
      <c r="M66" s="138"/>
      <c r="N66" s="138"/>
      <c r="O66" s="14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>
      <c r="A67" s="2"/>
      <c r="B67" s="137">
        <v>65.0</v>
      </c>
      <c r="C67" s="138" t="str">
        <f>TEXT(IFERROR(VLOOKUP($B67,Recetas!$B:$C,2,0),""),)</f>
        <v>Doble Oreo 22cm</v>
      </c>
      <c r="D67" s="139">
        <v>16000.0</v>
      </c>
      <c r="E67" s="140" t="s">
        <v>588</v>
      </c>
      <c r="F67" s="139">
        <f t="shared" si="1"/>
        <v>53745</v>
      </c>
      <c r="G67" s="139">
        <f>IF(C67="","",SUMIF(Recetas!$B:$B,'Costo x Articulo'!$B67,Recetas!$H:$H))</f>
        <v>17915</v>
      </c>
      <c r="H67" s="139">
        <f t="shared" si="2"/>
        <v>35830</v>
      </c>
      <c r="I67" s="141"/>
      <c r="J67" s="139" t="str">
        <f t="shared" si="3"/>
        <v/>
      </c>
      <c r="K67" s="142">
        <f t="shared" si="4"/>
        <v>0</v>
      </c>
      <c r="L67" s="138"/>
      <c r="M67" s="138"/>
      <c r="N67" s="138"/>
      <c r="O67" s="14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>
      <c r="A68" s="2"/>
      <c r="B68" s="137">
        <v>66.0</v>
      </c>
      <c r="C68" s="138" t="str">
        <f>TEXT(IFERROR(VLOOKUP($B68,Recetas!$B:$C,2,0),""),)</f>
        <v>Macarrons x 48 unidades</v>
      </c>
      <c r="D68" s="138"/>
      <c r="E68" s="138"/>
      <c r="F68" s="139">
        <f t="shared" si="1"/>
        <v>23020.5</v>
      </c>
      <c r="G68" s="139">
        <f>IF(C68="","",SUMIF(Recetas!$B:$B,'Costo x Articulo'!$B68,Recetas!$H:$H))</f>
        <v>7673.5</v>
      </c>
      <c r="H68" s="139">
        <f t="shared" si="2"/>
        <v>15347</v>
      </c>
      <c r="I68" s="141"/>
      <c r="J68" s="139" t="str">
        <f t="shared" si="3"/>
        <v/>
      </c>
      <c r="K68" s="142">
        <f t="shared" si="4"/>
        <v>0</v>
      </c>
      <c r="L68" s="138"/>
      <c r="M68" s="138"/>
      <c r="N68" s="138"/>
      <c r="O68" s="14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>
      <c r="A69" s="2"/>
      <c r="B69" s="137">
        <v>67.0</v>
      </c>
      <c r="C69" s="138" t="str">
        <f>TEXT(IFERROR(VLOOKUP($B69,Recetas!$B:$C,2,0),""),)</f>
        <v>Huevos Rellenos N12 chocotorta</v>
      </c>
      <c r="D69" s="138"/>
      <c r="E69" s="138"/>
      <c r="F69" s="139">
        <f t="shared" si="1"/>
        <v>18428.85714</v>
      </c>
      <c r="G69" s="139">
        <f>IF(C69="","",SUMIF(Recetas!$B:$B,'Costo x Articulo'!$B69,Recetas!$H:$H))</f>
        <v>6142.952381</v>
      </c>
      <c r="H69" s="139">
        <f t="shared" si="2"/>
        <v>12285.90476</v>
      </c>
      <c r="I69" s="141">
        <v>2800.0</v>
      </c>
      <c r="J69" s="139">
        <f t="shared" si="3"/>
        <v>-3342.952381</v>
      </c>
      <c r="K69" s="142">
        <f t="shared" si="4"/>
        <v>-0.5441931133</v>
      </c>
      <c r="L69" s="139">
        <f t="shared" ref="L69:L70" si="5">I69*2</f>
        <v>5600</v>
      </c>
      <c r="M69" s="139">
        <v>4600.0</v>
      </c>
      <c r="N69" s="139">
        <f t="shared" ref="N69:N70" si="6">M69/2</f>
        <v>2300</v>
      </c>
      <c r="O69" s="144">
        <f t="shared" ref="O69:O70" si="7">N69-G69</f>
        <v>-3842.952381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>
      <c r="A70" s="2"/>
      <c r="B70" s="137">
        <v>68.0</v>
      </c>
      <c r="C70" s="138" t="str">
        <f>TEXT(IFERROR(VLOOKUP($B70,Recetas!$B:$C,2,0),""),)</f>
        <v>Huevos Rellenos N15 oreo</v>
      </c>
      <c r="D70" s="138"/>
      <c r="E70" s="138"/>
      <c r="F70" s="139">
        <f t="shared" si="1"/>
        <v>25481.28205</v>
      </c>
      <c r="G70" s="139">
        <f>IF(C70="","",SUMIF(Recetas!$B:$B,'Costo x Articulo'!$B70,Recetas!$H:$H))</f>
        <v>8493.760684</v>
      </c>
      <c r="H70" s="139">
        <f t="shared" si="2"/>
        <v>16987.52137</v>
      </c>
      <c r="I70" s="141">
        <v>3400.0</v>
      </c>
      <c r="J70" s="139">
        <f t="shared" si="3"/>
        <v>-5093.760684</v>
      </c>
      <c r="K70" s="142">
        <f t="shared" si="4"/>
        <v>-0.5997061694</v>
      </c>
      <c r="L70" s="139">
        <f t="shared" si="5"/>
        <v>6800</v>
      </c>
      <c r="M70" s="139">
        <v>6000.0</v>
      </c>
      <c r="N70" s="139">
        <f t="shared" si="6"/>
        <v>3000</v>
      </c>
      <c r="O70" s="144">
        <f t="shared" si="7"/>
        <v>-5493.760684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>
      <c r="A71" s="2"/>
      <c r="B71" s="137">
        <v>69.0</v>
      </c>
      <c r="C71" s="138" t="str">
        <f>TEXT(IFERROR(VLOOKUP($B71,Recetas!$B:$C,2,0),""),)</f>
        <v>pizzetas x 12 </v>
      </c>
      <c r="D71" s="138"/>
      <c r="E71" s="138"/>
      <c r="F71" s="139">
        <f t="shared" si="1"/>
        <v>3626.357143</v>
      </c>
      <c r="G71" s="139">
        <f>IF(C71="","",SUMIF(Recetas!$B:$B,'Costo x Articulo'!$B71,Recetas!$H:$H))</f>
        <v>1208.785714</v>
      </c>
      <c r="H71" s="139">
        <f t="shared" si="2"/>
        <v>2417.571429</v>
      </c>
      <c r="I71" s="141">
        <v>400.0</v>
      </c>
      <c r="J71" s="139">
        <f t="shared" si="3"/>
        <v>-808.7857143</v>
      </c>
      <c r="K71" s="142">
        <f t="shared" si="4"/>
        <v>-0.669089405</v>
      </c>
      <c r="L71" s="138"/>
      <c r="M71" s="138"/>
      <c r="N71" s="138"/>
      <c r="O71" s="14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1">
      <c r="A72" s="2"/>
      <c r="B72" s="137">
        <v>70.0</v>
      </c>
      <c r="C72" s="138" t="str">
        <f>TEXT(IFERROR(VLOOKUP($B72,Recetas!$B:$C,2,0),""),)</f>
        <v>buttercream 22 cm </v>
      </c>
      <c r="D72" s="145">
        <v>40000.0</v>
      </c>
      <c r="E72" s="138"/>
      <c r="F72" s="139">
        <f t="shared" si="1"/>
        <v>74409</v>
      </c>
      <c r="G72" s="139">
        <f>IF(C72="","",SUMIF(Recetas!$B:$B,'Costo x Articulo'!$B72,Recetas!$H:$H))</f>
        <v>24803</v>
      </c>
      <c r="H72" s="139">
        <f t="shared" si="2"/>
        <v>49606</v>
      </c>
      <c r="I72" s="141">
        <v>17700.0</v>
      </c>
      <c r="J72" s="139">
        <f t="shared" si="3"/>
        <v>-7103</v>
      </c>
      <c r="K72" s="142">
        <f t="shared" si="4"/>
        <v>-0.286376648</v>
      </c>
      <c r="L72" s="138"/>
      <c r="M72" s="138"/>
      <c r="N72" s="138"/>
      <c r="O72" s="14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1">
      <c r="A73" s="2"/>
      <c r="B73" s="137">
        <v>71.0</v>
      </c>
      <c r="C73" s="138" t="str">
        <f>TEXT(IFERROR(VLOOKUP($B73,Recetas!$B:$C,2,0),""),)</f>
        <v>PAN de campo </v>
      </c>
      <c r="D73" s="138"/>
      <c r="E73" s="138"/>
      <c r="F73" s="139">
        <f t="shared" si="1"/>
        <v>2056.5</v>
      </c>
      <c r="G73" s="139">
        <f>IF(C73="","",SUMIF(Recetas!$B:$B,'Costo x Articulo'!$B73,Recetas!$H:$H))</f>
        <v>685.5</v>
      </c>
      <c r="H73" s="139">
        <f t="shared" si="2"/>
        <v>1371</v>
      </c>
      <c r="I73" s="141">
        <v>250.0</v>
      </c>
      <c r="J73" s="139">
        <f t="shared" si="3"/>
        <v>-435.5</v>
      </c>
      <c r="K73" s="142">
        <f t="shared" si="4"/>
        <v>-0.6353026988</v>
      </c>
      <c r="L73" s="138"/>
      <c r="M73" s="138"/>
      <c r="N73" s="138"/>
      <c r="O73" s="14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1">
      <c r="A74" s="2"/>
      <c r="B74" s="137">
        <v>72.0</v>
      </c>
      <c r="C74" s="138" t="str">
        <f>TEXT(IFERROR(VLOOKUP($B74,Recetas!$B:$C,2,0),""),)</f>
        <v>Carrot Cake 22cm</v>
      </c>
      <c r="D74" s="139">
        <v>13000.0</v>
      </c>
      <c r="E74" s="140" t="s">
        <v>588</v>
      </c>
      <c r="F74" s="139">
        <f t="shared" si="1"/>
        <v>16667.85714</v>
      </c>
      <c r="G74" s="139">
        <f>IF(C74="","",SUMIF(Recetas!$B:$B,'Costo x Articulo'!$B74,Recetas!$H:$H))</f>
        <v>5555.952381</v>
      </c>
      <c r="H74" s="139">
        <f t="shared" si="2"/>
        <v>11111.90476</v>
      </c>
      <c r="I74" s="141">
        <v>2500.0</v>
      </c>
      <c r="J74" s="139">
        <f t="shared" si="3"/>
        <v>-3055.952381</v>
      </c>
      <c r="K74" s="142">
        <f t="shared" si="4"/>
        <v>-0.5500321406</v>
      </c>
      <c r="L74" s="138"/>
      <c r="M74" s="138"/>
      <c r="N74" s="138"/>
      <c r="O74" s="14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1">
      <c r="A75" s="2"/>
      <c r="B75" s="137">
        <v>73.0</v>
      </c>
      <c r="C75" s="138" t="str">
        <f>TEXT(IFERROR(VLOOKUP($B75,Recetas!$B:$C,2,0),""),)</f>
        <v>Masas de manga / masas secas</v>
      </c>
      <c r="D75" s="138"/>
      <c r="E75" s="138"/>
      <c r="F75" s="139">
        <f t="shared" si="1"/>
        <v>19860.8</v>
      </c>
      <c r="G75" s="139">
        <f>IF(C75="","",SUMIF(Recetas!$B:$B,'Costo x Articulo'!$B75,Recetas!$H:$H))</f>
        <v>6620.266667</v>
      </c>
      <c r="H75" s="139">
        <f t="shared" si="2"/>
        <v>13240.53333</v>
      </c>
      <c r="I75" s="141">
        <v>2300.0</v>
      </c>
      <c r="J75" s="139">
        <f t="shared" si="3"/>
        <v>-4320.266667</v>
      </c>
      <c r="K75" s="142">
        <f t="shared" si="4"/>
        <v>-0.6525819705</v>
      </c>
      <c r="L75" s="138"/>
      <c r="M75" s="138"/>
      <c r="N75" s="138"/>
      <c r="O75" s="14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1">
      <c r="A76" s="2"/>
      <c r="B76" s="137">
        <v>74.0</v>
      </c>
      <c r="C76" s="138" t="str">
        <f>TEXT(IFERROR(VLOOKUP($B76,Recetas!$B:$C,2,0),""),)</f>
        <v>Heladitos x 6</v>
      </c>
      <c r="D76" s="138"/>
      <c r="E76" s="138"/>
      <c r="F76" s="139">
        <f t="shared" si="1"/>
        <v>68102</v>
      </c>
      <c r="G76" s="139">
        <f>IF(C76="","",SUMIF(Recetas!$B:$B,'Costo x Articulo'!$B76,Recetas!$H:$H))</f>
        <v>22700.66667</v>
      </c>
      <c r="H76" s="139">
        <f t="shared" si="2"/>
        <v>45401.33333</v>
      </c>
      <c r="I76" s="141">
        <v>4300.0</v>
      </c>
      <c r="J76" s="139">
        <f t="shared" si="3"/>
        <v>-18400.66667</v>
      </c>
      <c r="K76" s="142">
        <f t="shared" si="4"/>
        <v>-0.8105782503</v>
      </c>
      <c r="L76" s="138"/>
      <c r="M76" s="138"/>
      <c r="N76" s="138"/>
      <c r="O76" s="14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1">
      <c r="A77" s="2"/>
      <c r="B77" s="137">
        <v>75.0</v>
      </c>
      <c r="C77" s="138" t="str">
        <f>TEXT(IFERROR(VLOOKUP($B77,Recetas!$B:$C,2,0),""),)</f>
        <v>mini torta oreo VEGANA</v>
      </c>
      <c r="D77" s="138"/>
      <c r="E77" s="138"/>
      <c r="F77" s="139">
        <f t="shared" si="1"/>
        <v>17935.08197</v>
      </c>
      <c r="G77" s="139">
        <f>IF(C77="","",SUMIF(Recetas!$B:$B,'Costo x Articulo'!$B77,Recetas!$H:$H))</f>
        <v>5978.360656</v>
      </c>
      <c r="H77" s="139">
        <f t="shared" si="2"/>
        <v>11956.72131</v>
      </c>
      <c r="I77" s="141">
        <v>2300.0</v>
      </c>
      <c r="J77" s="139">
        <f t="shared" si="3"/>
        <v>-3678.360656</v>
      </c>
      <c r="K77" s="142">
        <f t="shared" si="4"/>
        <v>-0.6152791488</v>
      </c>
      <c r="L77" s="138"/>
      <c r="M77" s="138"/>
      <c r="N77" s="138"/>
      <c r="O77" s="14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1">
      <c r="A78" s="2"/>
      <c r="B78" s="137">
        <v>76.0</v>
      </c>
      <c r="C78" s="138" t="str">
        <f>TEXT(IFERROR(VLOOKUP($B78,Recetas!$B:$C,2,0),""),)</f>
        <v>muffins decorados con pasta </v>
      </c>
      <c r="D78" s="138"/>
      <c r="E78" s="138"/>
      <c r="F78" s="139">
        <f t="shared" si="1"/>
        <v>44980.6</v>
      </c>
      <c r="G78" s="139">
        <f>IF(C78="","",SUMIF(Recetas!$B:$B,'Costo x Articulo'!$B78,Recetas!$H:$H))</f>
        <v>14993.53333</v>
      </c>
      <c r="H78" s="139">
        <f t="shared" si="2"/>
        <v>29987.06667</v>
      </c>
      <c r="I78" s="141">
        <v>10200.0</v>
      </c>
      <c r="J78" s="139">
        <f t="shared" si="3"/>
        <v>-4793.533333</v>
      </c>
      <c r="K78" s="142">
        <f t="shared" si="4"/>
        <v>-0.319706718</v>
      </c>
      <c r="L78" s="138"/>
      <c r="M78" s="138"/>
      <c r="N78" s="138"/>
      <c r="O78" s="14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1">
      <c r="A79" s="2"/>
      <c r="B79" s="137">
        <v>77.0</v>
      </c>
      <c r="C79" s="138" t="str">
        <f>TEXT(IFERROR(VLOOKUP($B79,Recetas!$B:$C,2,0),""),)</f>
        <v>cookies chips de chocolate  12</v>
      </c>
      <c r="D79" s="138"/>
      <c r="E79" s="138"/>
      <c r="F79" s="139">
        <f t="shared" si="1"/>
        <v>6987.8</v>
      </c>
      <c r="G79" s="139">
        <f>IF(C79="","",SUMIF(Recetas!$B:$B,'Costo x Articulo'!$B79,Recetas!$H:$H))</f>
        <v>2329.266667</v>
      </c>
      <c r="H79" s="139">
        <f t="shared" si="2"/>
        <v>4658.533333</v>
      </c>
      <c r="I79" s="141">
        <v>2100.0</v>
      </c>
      <c r="J79" s="139">
        <f t="shared" si="3"/>
        <v>-229.2666667</v>
      </c>
      <c r="K79" s="142">
        <f t="shared" si="4"/>
        <v>-0.09842869</v>
      </c>
      <c r="L79" s="138"/>
      <c r="M79" s="138"/>
      <c r="N79" s="138"/>
      <c r="O79" s="14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1">
      <c r="A80" s="2"/>
      <c r="B80" s="137">
        <v>78.0</v>
      </c>
      <c r="C80" s="138" t="str">
        <f>TEXT(IFERROR(VLOOKUP($B80,Recetas!$B:$C,2,0),""),)</f>
        <v>DESAYUNO MINI TORTA </v>
      </c>
      <c r="D80" s="138"/>
      <c r="E80" s="138"/>
      <c r="F80" s="139">
        <f t="shared" si="1"/>
        <v>84977.25</v>
      </c>
      <c r="G80" s="139">
        <f>IF(C80="","",SUMIF(Recetas!$B:$B,'Costo x Articulo'!$B80,Recetas!$H:$H))</f>
        <v>28325.75</v>
      </c>
      <c r="H80" s="139">
        <f t="shared" si="2"/>
        <v>56651.5</v>
      </c>
      <c r="I80" s="141">
        <v>12200.0</v>
      </c>
      <c r="J80" s="139">
        <f t="shared" si="3"/>
        <v>-16125.75</v>
      </c>
      <c r="K80" s="142">
        <f t="shared" si="4"/>
        <v>-0.5692964882</v>
      </c>
      <c r="L80" s="138"/>
      <c r="M80" s="138"/>
      <c r="N80" s="138"/>
      <c r="O80" s="14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1">
      <c r="A81" s="2"/>
      <c r="B81" s="137">
        <v>79.0</v>
      </c>
      <c r="C81" s="138" t="str">
        <f>TEXT(IFERROR(VLOOKUP($B81,Recetas!$B:$C,2,0),""),)</f>
        <v>CHOCOTORTA CON DECO EN CHOCO</v>
      </c>
      <c r="D81" s="138"/>
      <c r="E81" s="138"/>
      <c r="F81" s="139">
        <f t="shared" si="1"/>
        <v>73009.71429</v>
      </c>
      <c r="G81" s="139">
        <f>IF(C81="","",SUMIF(Recetas!$B:$B,'Costo x Articulo'!$B81,Recetas!$H:$H))</f>
        <v>24336.57143</v>
      </c>
      <c r="H81" s="139">
        <f t="shared" si="2"/>
        <v>48673.14286</v>
      </c>
      <c r="I81" s="141">
        <v>16000.0</v>
      </c>
      <c r="J81" s="139">
        <f t="shared" si="3"/>
        <v>-8336.571429</v>
      </c>
      <c r="K81" s="142">
        <f t="shared" si="4"/>
        <v>-0.3425532414</v>
      </c>
      <c r="L81" s="138"/>
      <c r="M81" s="138"/>
      <c r="N81" s="138"/>
      <c r="O81" s="14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1">
      <c r="A82" s="2"/>
      <c r="B82" s="137">
        <v>80.0</v>
      </c>
      <c r="C82" s="138" t="str">
        <f>TEXT(IFERROR(VLOOKUP($B82,Recetas!$B:$C,2,0),""),)</f>
        <v>muffins sin tacc 12 u. </v>
      </c>
      <c r="D82" s="138"/>
      <c r="E82" s="138"/>
      <c r="F82" s="139">
        <f t="shared" si="1"/>
        <v>11282.8</v>
      </c>
      <c r="G82" s="139">
        <f>IF(C82="","",SUMIF(Recetas!$B:$B,'Costo x Articulo'!$B82,Recetas!$H:$H))</f>
        <v>3760.933333</v>
      </c>
      <c r="H82" s="139">
        <f t="shared" si="2"/>
        <v>7521.866667</v>
      </c>
      <c r="I82" s="141">
        <v>1500.0</v>
      </c>
      <c r="J82" s="139">
        <f t="shared" si="3"/>
        <v>-2260.933333</v>
      </c>
      <c r="K82" s="142">
        <f t="shared" si="4"/>
        <v>-0.6011628319</v>
      </c>
      <c r="L82" s="138"/>
      <c r="M82" s="138"/>
      <c r="N82" s="138"/>
      <c r="O82" s="14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1">
      <c r="A83" s="2"/>
      <c r="B83" s="137">
        <v>81.0</v>
      </c>
      <c r="C83" s="138" t="str">
        <f>TEXT(IFERROR(VLOOKUP($B83,Recetas!$B:$C,2,0),""),)</f>
        <v>masa para tartas dulces Sin tacc </v>
      </c>
      <c r="D83" s="138"/>
      <c r="E83" s="138"/>
      <c r="F83" s="139">
        <f t="shared" si="1"/>
        <v>15662.8</v>
      </c>
      <c r="G83" s="139">
        <f>IF(C83="","",SUMIF(Recetas!$B:$B,'Costo x Articulo'!$B83,Recetas!$H:$H))</f>
        <v>5220.933333</v>
      </c>
      <c r="H83" s="139">
        <f t="shared" si="2"/>
        <v>10441.86667</v>
      </c>
      <c r="I83" s="141">
        <v>4300.0</v>
      </c>
      <c r="J83" s="139">
        <f t="shared" si="3"/>
        <v>-920.9333333</v>
      </c>
      <c r="K83" s="142">
        <f t="shared" si="4"/>
        <v>-0.1763924713</v>
      </c>
      <c r="L83" s="138"/>
      <c r="M83" s="138"/>
      <c r="N83" s="138"/>
      <c r="O83" s="14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1">
      <c r="A84" s="2"/>
      <c r="B84" s="137">
        <v>82.0</v>
      </c>
      <c r="C84" s="138" t="str">
        <f>TEXT(IFERROR(VLOOKUP($B84,Recetas!$B:$C,2,0),""),)</f>
        <v>relleno pastafrola sin tacc </v>
      </c>
      <c r="D84" s="138"/>
      <c r="E84" s="138"/>
      <c r="F84" s="139">
        <f t="shared" si="1"/>
        <v>17370</v>
      </c>
      <c r="G84" s="139">
        <f>IF(C84="","",SUMIF(Recetas!$B:$B,'Costo x Articulo'!$B84,Recetas!$H:$H))</f>
        <v>5790</v>
      </c>
      <c r="H84" s="139">
        <f t="shared" si="2"/>
        <v>11580</v>
      </c>
      <c r="I84" s="141">
        <v>2700.0</v>
      </c>
      <c r="J84" s="139">
        <f t="shared" si="3"/>
        <v>-3090</v>
      </c>
      <c r="K84" s="142">
        <f t="shared" si="4"/>
        <v>-0.5336787565</v>
      </c>
      <c r="L84" s="138"/>
      <c r="M84" s="138"/>
      <c r="N84" s="138"/>
      <c r="O84" s="14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1">
      <c r="A85" s="2"/>
      <c r="B85" s="137">
        <v>83.0</v>
      </c>
      <c r="C85" s="138" t="str">
        <f>TEXT(IFERROR(VLOOKUP($B85,Recetas!$B:$C,2,0),""),)</f>
        <v>relleno ricota sin tacc</v>
      </c>
      <c r="D85" s="138"/>
      <c r="E85" s="138"/>
      <c r="F85" s="139">
        <f t="shared" si="1"/>
        <v>13608</v>
      </c>
      <c r="G85" s="139">
        <f>IF(C85="","",SUMIF(Recetas!$B:$B,'Costo x Articulo'!$B85,Recetas!$H:$H))</f>
        <v>4536</v>
      </c>
      <c r="H85" s="139">
        <f t="shared" si="2"/>
        <v>9072</v>
      </c>
      <c r="I85" s="141">
        <v>2000.0</v>
      </c>
      <c r="J85" s="139">
        <f t="shared" si="3"/>
        <v>-2536</v>
      </c>
      <c r="K85" s="142">
        <f t="shared" si="4"/>
        <v>-0.5590828924</v>
      </c>
      <c r="L85" s="138"/>
      <c r="M85" s="138"/>
      <c r="N85" s="138"/>
      <c r="O85" s="14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1">
      <c r="A86" s="2"/>
      <c r="B86" s="137">
        <v>84.0</v>
      </c>
      <c r="C86" s="138" t="str">
        <f>TEXT(IFERROR(VLOOKUP($B86,Recetas!$B:$C,2,0),""),)</f>
        <v>alfajores de Maicena SIN TACC</v>
      </c>
      <c r="D86" s="138"/>
      <c r="E86" s="138"/>
      <c r="F86" s="139">
        <f t="shared" si="1"/>
        <v>16890.6</v>
      </c>
      <c r="G86" s="139">
        <f>IF(C86="","",SUMIF(Recetas!$B:$B,'Costo x Articulo'!$B86,Recetas!$H:$H))</f>
        <v>5630.2</v>
      </c>
      <c r="H86" s="139">
        <f t="shared" si="2"/>
        <v>11260.4</v>
      </c>
      <c r="I86" s="141">
        <v>1800.0</v>
      </c>
      <c r="J86" s="139">
        <f t="shared" si="3"/>
        <v>-3830.2</v>
      </c>
      <c r="K86" s="142">
        <f t="shared" si="4"/>
        <v>-0.680295549</v>
      </c>
      <c r="L86" s="138"/>
      <c r="M86" s="138"/>
      <c r="N86" s="138"/>
      <c r="O86" s="14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1">
      <c r="A87" s="2"/>
      <c r="B87" s="137">
        <v>85.0</v>
      </c>
      <c r="C87" s="138" t="str">
        <f>TEXT(IFERROR(VLOOKUP($B87,Recetas!$B:$C,2,0),""),)</f>
        <v>Galletitas Sin tacc </v>
      </c>
      <c r="D87" s="138"/>
      <c r="E87" s="138"/>
      <c r="F87" s="139">
        <f t="shared" si="1"/>
        <v>3549.885714</v>
      </c>
      <c r="G87" s="139">
        <f>IF(C87="","",SUMIF(Recetas!$B:$B,'Costo x Articulo'!$B87,Recetas!$H:$H))</f>
        <v>1183.295238</v>
      </c>
      <c r="H87" s="139">
        <f t="shared" si="2"/>
        <v>2366.590476</v>
      </c>
      <c r="I87" s="141">
        <v>350.0</v>
      </c>
      <c r="J87" s="139">
        <f t="shared" si="3"/>
        <v>-833.2952381</v>
      </c>
      <c r="K87" s="142">
        <f t="shared" si="4"/>
        <v>-0.7042158299</v>
      </c>
      <c r="L87" s="138"/>
      <c r="M87" s="138"/>
      <c r="N87" s="138"/>
      <c r="O87" s="14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2"/>
      <c r="B88" s="137">
        <v>86.0</v>
      </c>
      <c r="C88" s="138" t="str">
        <f>TEXT(IFERROR(VLOOKUP($B88,Recetas!$B:$C,2,0),""),)</f>
        <v>bizcochuelo Sin Tacc</v>
      </c>
      <c r="D88" s="138"/>
      <c r="E88" s="138"/>
      <c r="F88" s="139">
        <f t="shared" si="1"/>
        <v>8325.6</v>
      </c>
      <c r="G88" s="139">
        <f>IF(C88="","",SUMIF(Recetas!$B:$B,'Costo x Articulo'!$B88,Recetas!$H:$H))</f>
        <v>2775.2</v>
      </c>
      <c r="H88" s="139">
        <f t="shared" si="2"/>
        <v>5550.4</v>
      </c>
      <c r="I88" s="141">
        <v>1200.0</v>
      </c>
      <c r="J88" s="139">
        <f t="shared" si="3"/>
        <v>-1575.2</v>
      </c>
      <c r="K88" s="142">
        <f t="shared" si="4"/>
        <v>-0.5675987316</v>
      </c>
      <c r="L88" s="138"/>
      <c r="M88" s="138"/>
      <c r="N88" s="138"/>
      <c r="O88" s="14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2"/>
      <c r="B89" s="137">
        <v>87.0</v>
      </c>
      <c r="C89" s="138" t="str">
        <f>TEXT(IFERROR(VLOOKUP($B89,Recetas!$B:$C,2,0),""),)</f>
        <v>medialunas SIN TACC</v>
      </c>
      <c r="D89" s="138"/>
      <c r="E89" s="138"/>
      <c r="F89" s="139">
        <f t="shared" si="1"/>
        <v>10601.1</v>
      </c>
      <c r="G89" s="139">
        <f>IF(C89="","",SUMIF(Recetas!$B:$B,'Costo x Articulo'!$B89,Recetas!$H:$H))</f>
        <v>3533.7</v>
      </c>
      <c r="H89" s="139">
        <f t="shared" si="2"/>
        <v>7067.4</v>
      </c>
      <c r="I89" s="141">
        <v>870.0</v>
      </c>
      <c r="J89" s="139">
        <f t="shared" si="3"/>
        <v>-2663.7</v>
      </c>
      <c r="K89" s="142">
        <f t="shared" si="4"/>
        <v>-0.7537991341</v>
      </c>
      <c r="L89" s="138"/>
      <c r="M89" s="138"/>
      <c r="N89" s="138"/>
      <c r="O89" s="14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1">
      <c r="A90" s="2"/>
      <c r="B90" s="137">
        <v>88.0</v>
      </c>
      <c r="C90" s="138" t="str">
        <f>TEXT(IFERROR(VLOOKUP($B90,Recetas!$B:$C,2,0),""),)</f>
        <v>Scons SIN TACC</v>
      </c>
      <c r="D90" s="138"/>
      <c r="E90" s="138"/>
      <c r="F90" s="139">
        <f t="shared" si="1"/>
        <v>9707.5</v>
      </c>
      <c r="G90" s="139">
        <f>IF(C90="","",SUMIF(Recetas!$B:$B,'Costo x Articulo'!$B90,Recetas!$H:$H))</f>
        <v>3235.833333</v>
      </c>
      <c r="H90" s="139">
        <f t="shared" si="2"/>
        <v>6471.666667</v>
      </c>
      <c r="I90" s="141">
        <v>820.0</v>
      </c>
      <c r="J90" s="139">
        <f t="shared" si="3"/>
        <v>-2415.833333</v>
      </c>
      <c r="K90" s="142">
        <f t="shared" si="4"/>
        <v>-0.7465876899</v>
      </c>
      <c r="L90" s="138"/>
      <c r="M90" s="138"/>
      <c r="N90" s="138"/>
      <c r="O90" s="14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2"/>
      <c r="B91" s="137">
        <v>89.0</v>
      </c>
      <c r="C91" s="138" t="str">
        <f>TEXT(IFERROR(VLOOKUP($B91,Recetas!$B:$C,2,0),""),)</f>
        <v>BUDIN SIN TACC</v>
      </c>
      <c r="D91" s="138"/>
      <c r="E91" s="138"/>
      <c r="F91" s="139">
        <f t="shared" si="1"/>
        <v>18300</v>
      </c>
      <c r="G91" s="139">
        <f>IF(C91="","",SUMIF(Recetas!$B:$B,'Costo x Articulo'!$B91,Recetas!$H:$H))</f>
        <v>6100</v>
      </c>
      <c r="H91" s="139">
        <f t="shared" si="2"/>
        <v>12200</v>
      </c>
      <c r="I91" s="141">
        <v>1500.0</v>
      </c>
      <c r="J91" s="139">
        <f t="shared" si="3"/>
        <v>-4600</v>
      </c>
      <c r="K91" s="142">
        <f t="shared" si="4"/>
        <v>-0.7540983607</v>
      </c>
      <c r="L91" s="138"/>
      <c r="M91" s="138"/>
      <c r="N91" s="138"/>
      <c r="O91" s="14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2"/>
      <c r="B92" s="137">
        <v>90.0</v>
      </c>
      <c r="C92" s="138" t="str">
        <f>TEXT(IFERROR(VLOOKUP($B92,Recetas!$B:$C,2,0),""),)</f>
        <v>CARROT CAKE SIN TACC</v>
      </c>
      <c r="D92" s="138"/>
      <c r="E92" s="138"/>
      <c r="F92" s="139">
        <f t="shared" si="1"/>
        <v>14438.57143</v>
      </c>
      <c r="G92" s="139">
        <f>IF(C92="","",SUMIF(Recetas!$B:$B,'Costo x Articulo'!$B92,Recetas!$H:$H))</f>
        <v>4812.857143</v>
      </c>
      <c r="H92" s="139">
        <f t="shared" si="2"/>
        <v>9625.714286</v>
      </c>
      <c r="I92" s="141">
        <v>4700.0</v>
      </c>
      <c r="J92" s="139">
        <f t="shared" si="3"/>
        <v>-112.8571429</v>
      </c>
      <c r="K92" s="142">
        <f t="shared" si="4"/>
        <v>-0.02344909469</v>
      </c>
      <c r="L92" s="138"/>
      <c r="M92" s="138"/>
      <c r="N92" s="138"/>
      <c r="O92" s="14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2"/>
      <c r="B93" s="137">
        <v>91.0</v>
      </c>
      <c r="C93" s="138" t="str">
        <f>TEXT(IFERROR(VLOOKUP($B93,Recetas!$B:$C,2,0),""),)</f>
        <v>TARTA DE MANZANA SIN TACC</v>
      </c>
      <c r="D93" s="138"/>
      <c r="E93" s="138"/>
      <c r="F93" s="139">
        <f t="shared" si="1"/>
        <v>15491</v>
      </c>
      <c r="G93" s="139">
        <f>IF(C93="","",SUMIF(Recetas!$B:$B,'Costo x Articulo'!$B93,Recetas!$H:$H))</f>
        <v>5163.666667</v>
      </c>
      <c r="H93" s="139">
        <f t="shared" si="2"/>
        <v>10327.33333</v>
      </c>
      <c r="I93" s="141">
        <v>1400.0</v>
      </c>
      <c r="J93" s="139">
        <f t="shared" si="3"/>
        <v>-3763.666667</v>
      </c>
      <c r="K93" s="142">
        <f t="shared" si="4"/>
        <v>-0.7288748305</v>
      </c>
      <c r="L93" s="138"/>
      <c r="M93" s="138"/>
      <c r="N93" s="138"/>
      <c r="O93" s="14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2"/>
      <c r="B94" s="137">
        <v>92.0</v>
      </c>
      <c r="C94" s="138" t="str">
        <f>TEXT(IFERROR(VLOOKUP($B94,Recetas!$B:$C,2,0),""),)</f>
        <v>Mini budin x8 unidades</v>
      </c>
      <c r="D94" s="138"/>
      <c r="E94" s="138"/>
      <c r="F94" s="139">
        <f t="shared" si="1"/>
        <v>12980</v>
      </c>
      <c r="G94" s="139">
        <f>IF(C94="","",SUMIF(Recetas!$B:$B,'Costo x Articulo'!$B94,Recetas!$H:$H))</f>
        <v>4326.666667</v>
      </c>
      <c r="H94" s="139">
        <f t="shared" si="2"/>
        <v>8653.333333</v>
      </c>
      <c r="I94" s="141">
        <f>245*8</f>
        <v>1960</v>
      </c>
      <c r="J94" s="139">
        <f t="shared" si="3"/>
        <v>-2366.666667</v>
      </c>
      <c r="K94" s="142">
        <f t="shared" si="4"/>
        <v>-0.5469953775</v>
      </c>
      <c r="L94" s="138"/>
      <c r="M94" s="138"/>
      <c r="N94" s="138"/>
      <c r="O94" s="14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2"/>
      <c r="B95" s="137">
        <v>93.0</v>
      </c>
      <c r="C95" s="138" t="str">
        <f>TEXT(IFERROR(VLOOKUP($B95,Recetas!$B:$C,2,0),""),)</f>
        <v>Torta piñata</v>
      </c>
      <c r="D95" s="138"/>
      <c r="E95" s="138"/>
      <c r="F95" s="139">
        <f t="shared" si="1"/>
        <v>59700</v>
      </c>
      <c r="G95" s="139">
        <f>IF(C95="","",SUMIF(Recetas!$B:$B,'Costo x Articulo'!$B95,Recetas!$H:$H))</f>
        <v>19900</v>
      </c>
      <c r="H95" s="139">
        <f t="shared" si="2"/>
        <v>39800</v>
      </c>
      <c r="I95" s="141">
        <v>20700.0</v>
      </c>
      <c r="J95" s="139">
        <f t="shared" si="3"/>
        <v>800</v>
      </c>
      <c r="K95" s="142">
        <f t="shared" si="4"/>
        <v>0.04020100503</v>
      </c>
      <c r="L95" s="138"/>
      <c r="M95" s="138"/>
      <c r="N95" s="138"/>
      <c r="O95" s="14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2"/>
      <c r="B96" s="137">
        <v>94.0</v>
      </c>
      <c r="C96" s="138" t="str">
        <f>TEXT(IFERROR(VLOOKUP($B96,Recetas!$B:$C,2,0),""),)</f>
        <v>Balcarse 20 cm </v>
      </c>
      <c r="D96" s="138"/>
      <c r="E96" s="138"/>
      <c r="F96" s="139">
        <f t="shared" si="1"/>
        <v>53599.65</v>
      </c>
      <c r="G96" s="139">
        <f>IF(C96="","",SUMIF(Recetas!$B:$B,'Costo x Articulo'!$B96,Recetas!$H:$H))</f>
        <v>17866.55</v>
      </c>
      <c r="H96" s="139">
        <f t="shared" si="2"/>
        <v>35733.1</v>
      </c>
      <c r="I96" s="141">
        <v>7900.0</v>
      </c>
      <c r="J96" s="139">
        <f t="shared" si="3"/>
        <v>-9966.55</v>
      </c>
      <c r="K96" s="142">
        <f t="shared" si="4"/>
        <v>-0.5578329336</v>
      </c>
      <c r="L96" s="138"/>
      <c r="M96" s="138"/>
      <c r="N96" s="138"/>
      <c r="O96" s="14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2"/>
      <c r="B97" s="137">
        <v>95.0</v>
      </c>
      <c r="C97" s="138" t="str">
        <f>TEXT(IFERROR(VLOOKUP($B97,Recetas!$B:$C,2,0),""),)</f>
        <v>Oreos Bañadas con deco </v>
      </c>
      <c r="D97" s="138"/>
      <c r="E97" s="138"/>
      <c r="F97" s="139">
        <f t="shared" si="1"/>
        <v>22980</v>
      </c>
      <c r="G97" s="139">
        <f>IF(C97="","",SUMIF(Recetas!$B:$B,'Costo x Articulo'!$B97,Recetas!$H:$H))</f>
        <v>7660</v>
      </c>
      <c r="H97" s="139">
        <f t="shared" si="2"/>
        <v>15320</v>
      </c>
      <c r="I97" s="141">
        <v>5600.0</v>
      </c>
      <c r="J97" s="139">
        <f t="shared" si="3"/>
        <v>-2060</v>
      </c>
      <c r="K97" s="142">
        <f t="shared" si="4"/>
        <v>-0.2689295039</v>
      </c>
      <c r="L97" s="138"/>
      <c r="M97" s="138"/>
      <c r="N97" s="138"/>
      <c r="O97" s="14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2"/>
      <c r="B98" s="137">
        <v>96.0</v>
      </c>
      <c r="C98" s="138" t="str">
        <f>TEXT(IFERROR(VLOOKUP($B98,Recetas!$B:$C,2,0),""),)</f>
        <v>Chocotorta rectangular 20x30 cm</v>
      </c>
      <c r="D98" s="138"/>
      <c r="E98" s="138"/>
      <c r="F98" s="139">
        <f t="shared" si="1"/>
        <v>69296.57143</v>
      </c>
      <c r="G98" s="139">
        <f>IF(C98="","",SUMIF(Recetas!$B:$B,'Costo x Articulo'!$B98,Recetas!$H:$H))</f>
        <v>23098.85714</v>
      </c>
      <c r="H98" s="139">
        <f t="shared" si="2"/>
        <v>46197.71429</v>
      </c>
      <c r="I98" s="141">
        <v>17000.0</v>
      </c>
      <c r="J98" s="139">
        <f t="shared" si="3"/>
        <v>-6098.857143</v>
      </c>
      <c r="K98" s="142">
        <f t="shared" si="4"/>
        <v>-0.2640328526</v>
      </c>
      <c r="L98" s="138"/>
      <c r="M98" s="138"/>
      <c r="N98" s="138"/>
      <c r="O98" s="14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2"/>
      <c r="B99" s="137">
        <v>97.0</v>
      </c>
      <c r="C99" s="138" t="str">
        <f>TEXT(IFERROR(VLOOKUP($B99,Recetas!$B:$C,2,0),""),)</f>
        <v>Arrollado con crema </v>
      </c>
      <c r="D99" s="138"/>
      <c r="E99" s="138"/>
      <c r="F99" s="139">
        <f t="shared" si="1"/>
        <v>22017.8</v>
      </c>
      <c r="G99" s="139">
        <f>IF(C99="","",SUMIF(Recetas!$B:$B,'Costo x Articulo'!$B99,Recetas!$H:$H))</f>
        <v>7339.266667</v>
      </c>
      <c r="H99" s="139">
        <f t="shared" si="2"/>
        <v>14678.53333</v>
      </c>
      <c r="I99" s="141">
        <v>4400.0</v>
      </c>
      <c r="J99" s="139">
        <f t="shared" si="3"/>
        <v>-2939.266667</v>
      </c>
      <c r="K99" s="142">
        <f t="shared" si="4"/>
        <v>-0.4004850621</v>
      </c>
      <c r="L99" s="138"/>
      <c r="M99" s="138"/>
      <c r="N99" s="138"/>
      <c r="O99" s="14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2"/>
      <c r="B100" s="137">
        <v>98.0</v>
      </c>
      <c r="C100" s="138" t="str">
        <f>TEXT(IFERROR(VLOOKUP($B100,Recetas!$B:$C,2,0),""),)</f>
        <v>Huevos Rellenos N12 oreo</v>
      </c>
      <c r="D100" s="138"/>
      <c r="E100" s="138"/>
      <c r="F100" s="139">
        <f t="shared" si="1"/>
        <v>20661.48718</v>
      </c>
      <c r="G100" s="139">
        <f>IF(C100="","",SUMIF(Recetas!$B:$B,'Costo x Articulo'!$B100,Recetas!$H:$H))</f>
        <v>6887.162393</v>
      </c>
      <c r="H100" s="139">
        <f t="shared" si="2"/>
        <v>13774.32479</v>
      </c>
      <c r="I100" s="141">
        <v>3000.0</v>
      </c>
      <c r="J100" s="139">
        <f t="shared" si="3"/>
        <v>-3887.162393</v>
      </c>
      <c r="K100" s="142">
        <f t="shared" si="4"/>
        <v>-0.5644069606</v>
      </c>
      <c r="L100" s="139">
        <f t="shared" ref="L100:L104" si="8">I100*2</f>
        <v>6000</v>
      </c>
      <c r="M100" s="139">
        <v>5000.0</v>
      </c>
      <c r="N100" s="139">
        <f t="shared" ref="N100:N104" si="9">M100/2</f>
        <v>2500</v>
      </c>
      <c r="O100" s="144">
        <f t="shared" ref="O100:O104" si="10">N100-G100</f>
        <v>-4387.162393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2"/>
      <c r="B101" s="137">
        <v>99.0</v>
      </c>
      <c r="C101" s="138" t="str">
        <f>TEXT(IFERROR(VLOOKUP($B101,Recetas!$B:$C,2,0),""),)</f>
        <v>Huevo copa del mundo</v>
      </c>
      <c r="D101" s="138"/>
      <c r="E101" s="138"/>
      <c r="F101" s="139">
        <f t="shared" si="1"/>
        <v>16720</v>
      </c>
      <c r="G101" s="139">
        <f>IF(C101="","",SUMIF(Recetas!$B:$B,'Costo x Articulo'!$B101,Recetas!$H:$H))</f>
        <v>5573.333333</v>
      </c>
      <c r="H101" s="139">
        <f t="shared" si="2"/>
        <v>11146.66667</v>
      </c>
      <c r="I101" s="141">
        <v>3000.0</v>
      </c>
      <c r="J101" s="139">
        <f t="shared" si="3"/>
        <v>-2573.333333</v>
      </c>
      <c r="K101" s="142">
        <f t="shared" si="4"/>
        <v>-0.461722488</v>
      </c>
      <c r="L101" s="139">
        <f t="shared" si="8"/>
        <v>6000</v>
      </c>
      <c r="M101" s="139">
        <v>5800.0</v>
      </c>
      <c r="N101" s="139">
        <f t="shared" si="9"/>
        <v>2900</v>
      </c>
      <c r="O101" s="144">
        <f t="shared" si="10"/>
        <v>-2673.333333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2"/>
      <c r="B102" s="137">
        <v>100.0</v>
      </c>
      <c r="C102" s="138" t="str">
        <f>TEXT(IFERROR(VLOOKUP($B102,Recetas!$B:$C,2,0),""),)</f>
        <v>Huevo Colorido N15</v>
      </c>
      <c r="D102" s="138"/>
      <c r="E102" s="138"/>
      <c r="F102" s="139">
        <f t="shared" si="1"/>
        <v>21946</v>
      </c>
      <c r="G102" s="139">
        <f>IF(C102="","",SUMIF(Recetas!$B:$B,'Costo x Articulo'!$B102,Recetas!$H:$H))</f>
        <v>7315.333333</v>
      </c>
      <c r="H102" s="139">
        <f t="shared" si="2"/>
        <v>14630.66667</v>
      </c>
      <c r="I102" s="141">
        <v>2700.0</v>
      </c>
      <c r="J102" s="139">
        <f t="shared" si="3"/>
        <v>-4615.333333</v>
      </c>
      <c r="K102" s="142">
        <f t="shared" si="4"/>
        <v>-0.6309122391</v>
      </c>
      <c r="L102" s="139">
        <f t="shared" si="8"/>
        <v>5400</v>
      </c>
      <c r="M102" s="139">
        <v>5200.0</v>
      </c>
      <c r="N102" s="139">
        <f t="shared" si="9"/>
        <v>2600</v>
      </c>
      <c r="O102" s="144">
        <f t="shared" si="10"/>
        <v>-4715.333333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2"/>
      <c r="B103" s="137">
        <v>101.0</v>
      </c>
      <c r="C103" s="138" t="str">
        <f>TEXT(IFERROR(VLOOKUP($B103,Recetas!$B:$C,2,0),""),)</f>
        <v>Huevo Colorido N12</v>
      </c>
      <c r="D103" s="138"/>
      <c r="E103" s="138"/>
      <c r="F103" s="139">
        <f t="shared" si="1"/>
        <v>18219</v>
      </c>
      <c r="G103" s="139">
        <f>IF(C103="","",SUMIF(Recetas!$B:$B,'Costo x Articulo'!$B103,Recetas!$H:$H))</f>
        <v>6073</v>
      </c>
      <c r="H103" s="139">
        <f t="shared" si="2"/>
        <v>12146</v>
      </c>
      <c r="I103" s="141">
        <v>2200.0</v>
      </c>
      <c r="J103" s="139">
        <f t="shared" si="3"/>
        <v>-3873</v>
      </c>
      <c r="K103" s="142">
        <f t="shared" si="4"/>
        <v>-0.63774082</v>
      </c>
      <c r="L103" s="139">
        <f t="shared" si="8"/>
        <v>4400</v>
      </c>
      <c r="M103" s="139">
        <v>4200.0</v>
      </c>
      <c r="N103" s="139">
        <f t="shared" si="9"/>
        <v>2100</v>
      </c>
      <c r="O103" s="144">
        <f t="shared" si="10"/>
        <v>-3973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2"/>
      <c r="B104" s="137">
        <v>102.0</v>
      </c>
      <c r="C104" s="138" t="str">
        <f>TEXT(IFERROR(VLOOKUP($B104,Recetas!$B:$C,2,0),""),)</f>
        <v>Rosca de pascua</v>
      </c>
      <c r="D104" s="138">
        <v>8000.0</v>
      </c>
      <c r="E104" s="138"/>
      <c r="F104" s="139">
        <f t="shared" si="1"/>
        <v>25755.62</v>
      </c>
      <c r="G104" s="139">
        <f>IF(C104="","",SUMIF(Recetas!$B:$B,'Costo x Articulo'!$B104,Recetas!$H:$H))</f>
        <v>8585.206667</v>
      </c>
      <c r="H104" s="139">
        <f t="shared" si="2"/>
        <v>17170.41333</v>
      </c>
      <c r="I104" s="141">
        <v>3000.0</v>
      </c>
      <c r="J104" s="139">
        <f t="shared" si="3"/>
        <v>-5585.206667</v>
      </c>
      <c r="K104" s="142">
        <f t="shared" si="4"/>
        <v>-0.6505617026</v>
      </c>
      <c r="L104" s="139">
        <f t="shared" si="8"/>
        <v>6000</v>
      </c>
      <c r="M104" s="139">
        <v>5800.0</v>
      </c>
      <c r="N104" s="139">
        <f t="shared" si="9"/>
        <v>2900</v>
      </c>
      <c r="O104" s="144">
        <f t="shared" si="10"/>
        <v>-5685.206667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2"/>
      <c r="B105" s="137">
        <v>103.0</v>
      </c>
      <c r="C105" s="138" t="str">
        <f>TEXT(IFERROR(VLOOKUP($B105,Recetas!$B:$C,2,0),""),)</f>
        <v>Chips DOCENA </v>
      </c>
      <c r="D105" s="138"/>
      <c r="E105" s="138"/>
      <c r="F105" s="139">
        <f t="shared" si="1"/>
        <v>21814.2</v>
      </c>
      <c r="G105" s="139">
        <f>IF(C105="","",SUMIF(Recetas!$B:$B,'Costo x Articulo'!$B105,Recetas!$H:$H))</f>
        <v>7271.4</v>
      </c>
      <c r="H105" s="139">
        <f t="shared" si="2"/>
        <v>14542.8</v>
      </c>
      <c r="I105" s="141">
        <v>3700.0</v>
      </c>
      <c r="J105" s="139">
        <f t="shared" si="3"/>
        <v>-3571.4</v>
      </c>
      <c r="K105" s="142">
        <f t="shared" si="4"/>
        <v>-0.4911571362</v>
      </c>
      <c r="L105" s="138"/>
      <c r="M105" s="138"/>
      <c r="N105" s="138"/>
      <c r="O105" s="14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2"/>
      <c r="B106" s="137">
        <v>104.0</v>
      </c>
      <c r="C106" s="138" t="str">
        <f>TEXT(IFERROR(VLOOKUP($B106,Recetas!$B:$C,2,0),""),)</f>
        <v>Chips de pollo DOCENA</v>
      </c>
      <c r="D106" s="138"/>
      <c r="E106" s="138"/>
      <c r="F106" s="139">
        <f t="shared" si="1"/>
        <v>45289.2</v>
      </c>
      <c r="G106" s="139">
        <f>IF(C106="","",SUMIF(Recetas!$B:$B,'Costo x Articulo'!$B106,Recetas!$H:$H))</f>
        <v>15096.4</v>
      </c>
      <c r="H106" s="139">
        <f t="shared" si="2"/>
        <v>30192.8</v>
      </c>
      <c r="I106" s="141">
        <v>3300.0</v>
      </c>
      <c r="J106" s="139">
        <f t="shared" si="3"/>
        <v>-11796.4</v>
      </c>
      <c r="K106" s="142">
        <f t="shared" si="4"/>
        <v>-0.7814048382</v>
      </c>
      <c r="L106" s="138"/>
      <c r="M106" s="138"/>
      <c r="N106" s="138"/>
      <c r="O106" s="14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2"/>
      <c r="B107" s="137">
        <v>105.0</v>
      </c>
      <c r="C107" s="138" t="str">
        <f>TEXT(IFERROR(VLOOKUP($B107,Recetas!$B:$C,2,0),""),)</f>
        <v>Medalla de chocolate x3</v>
      </c>
      <c r="D107" s="138"/>
      <c r="E107" s="138"/>
      <c r="F107" s="139">
        <f t="shared" si="1"/>
        <v>9838</v>
      </c>
      <c r="G107" s="139">
        <f>IF(C107="","",SUMIF(Recetas!$B:$B,'Costo x Articulo'!$B107,Recetas!$H:$H))</f>
        <v>3279.333333</v>
      </c>
      <c r="H107" s="139">
        <f t="shared" si="2"/>
        <v>6558.666667</v>
      </c>
      <c r="I107" s="141">
        <v>1500.0</v>
      </c>
      <c r="J107" s="139">
        <f t="shared" si="3"/>
        <v>-1779.333333</v>
      </c>
      <c r="K107" s="142">
        <f t="shared" si="4"/>
        <v>-0.5425899573</v>
      </c>
      <c r="L107" s="139">
        <f>I107*2</f>
        <v>3000</v>
      </c>
      <c r="M107" s="138">
        <v>2800.0</v>
      </c>
      <c r="N107" s="138"/>
      <c r="O107" s="14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2"/>
      <c r="B108" s="137">
        <v>106.0</v>
      </c>
      <c r="C108" s="138" t="str">
        <f>TEXT(IFERROR(VLOOKUP($B108,Recetas!$B:$C,2,0),""),)</f>
        <v>Figacitas de manteca 36 unidades</v>
      </c>
      <c r="D108" s="138"/>
      <c r="E108" s="138"/>
      <c r="F108" s="139">
        <f t="shared" si="1"/>
        <v>10668</v>
      </c>
      <c r="G108" s="139">
        <f>IF(C108="","",SUMIF(Recetas!$B:$B,'Costo x Articulo'!$B108,Recetas!$H:$H))</f>
        <v>3556</v>
      </c>
      <c r="H108" s="139">
        <f t="shared" si="2"/>
        <v>7112</v>
      </c>
      <c r="I108" s="141">
        <v>2700.0</v>
      </c>
      <c r="J108" s="139">
        <f t="shared" si="3"/>
        <v>-856</v>
      </c>
      <c r="K108" s="142">
        <f t="shared" si="4"/>
        <v>-0.24071991</v>
      </c>
      <c r="L108" s="138"/>
      <c r="M108" s="138"/>
      <c r="N108" s="138"/>
      <c r="O108" s="14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2"/>
      <c r="B109" s="137">
        <v>107.0</v>
      </c>
      <c r="C109" s="138" t="str">
        <f>TEXT(IFERROR(VLOOKUP($B109,Recetas!$B:$C,2,0),""),)</f>
        <v>Focaccia </v>
      </c>
      <c r="D109" s="138"/>
      <c r="E109" s="138"/>
      <c r="F109" s="139">
        <f t="shared" si="1"/>
        <v>1994.357143</v>
      </c>
      <c r="G109" s="139">
        <f>IF(C109="","",SUMIF(Recetas!$B:$B,'Costo x Articulo'!$B109,Recetas!$H:$H))</f>
        <v>664.7857143</v>
      </c>
      <c r="H109" s="139">
        <f t="shared" si="2"/>
        <v>1329.571429</v>
      </c>
      <c r="I109" s="141">
        <v>1100.0</v>
      </c>
      <c r="J109" s="139">
        <f t="shared" si="3"/>
        <v>435.2142857</v>
      </c>
      <c r="K109" s="142">
        <f t="shared" si="4"/>
        <v>0.6546685291</v>
      </c>
      <c r="L109" s="138"/>
      <c r="M109" s="138"/>
      <c r="N109" s="138"/>
      <c r="O109" s="14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2"/>
      <c r="B110" s="137">
        <v>108.0</v>
      </c>
      <c r="C110" s="138" t="str">
        <f>TEXT(IFERROR(VLOOKUP($B110,Recetas!$B:$C,2,0),""),)</f>
        <v>Pastelitos nuevos</v>
      </c>
      <c r="D110" s="138"/>
      <c r="E110" s="138"/>
      <c r="F110" s="139">
        <f t="shared" si="1"/>
        <v>9285</v>
      </c>
      <c r="G110" s="139">
        <f>IF(C110="","",SUMIF(Recetas!$B:$B,'Costo x Articulo'!$B110,Recetas!$H:$H))</f>
        <v>3095</v>
      </c>
      <c r="H110" s="139">
        <f t="shared" si="2"/>
        <v>6190</v>
      </c>
      <c r="I110" s="141">
        <v>1900.0</v>
      </c>
      <c r="J110" s="139">
        <f t="shared" si="3"/>
        <v>-1195</v>
      </c>
      <c r="K110" s="142">
        <f t="shared" si="4"/>
        <v>-0.3861066236</v>
      </c>
      <c r="L110" s="138"/>
      <c r="M110" s="138"/>
      <c r="N110" s="138"/>
      <c r="O110" s="14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2"/>
      <c r="B111" s="137">
        <v>109.0</v>
      </c>
      <c r="C111" s="138" t="str">
        <f>TEXT(IFERROR(VLOOKUP($B111,Recetas!$B:$C,2,0),""),)</f>
        <v>Scons de queso x16 unidades</v>
      </c>
      <c r="D111" s="138"/>
      <c r="E111" s="138"/>
      <c r="F111" s="139">
        <f t="shared" si="1"/>
        <v>16696</v>
      </c>
      <c r="G111" s="139">
        <f>IF(C111="","",SUMIF(Recetas!$B:$B,'Costo x Articulo'!$B111,Recetas!$H:$H))</f>
        <v>5565.333333</v>
      </c>
      <c r="H111" s="139">
        <f t="shared" si="2"/>
        <v>11130.66667</v>
      </c>
      <c r="I111" s="141">
        <v>3000.0</v>
      </c>
      <c r="J111" s="139">
        <f t="shared" si="3"/>
        <v>-2565.333333</v>
      </c>
      <c r="K111" s="142">
        <f t="shared" si="4"/>
        <v>-0.4609487302</v>
      </c>
      <c r="L111" s="138"/>
      <c r="M111" s="138"/>
      <c r="N111" s="138"/>
      <c r="O111" s="14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2"/>
      <c r="B112" s="137">
        <v>110.0</v>
      </c>
      <c r="C112" s="138" t="str">
        <f>TEXT(IFERROR(VLOOKUP($B112,Recetas!$B:$C,2,0),""),)</f>
        <v>Desayuno Día del Padre 2023</v>
      </c>
      <c r="D112" s="138"/>
      <c r="E112" s="138"/>
      <c r="F112" s="139">
        <f t="shared" si="1"/>
        <v>8811.370925</v>
      </c>
      <c r="G112" s="139">
        <f>IF(C112="","",SUMIF(Recetas!$B:$B,'Costo x Articulo'!$B112,Recetas!$H:$H))</f>
        <v>2937.123642</v>
      </c>
      <c r="H112" s="139">
        <f t="shared" si="2"/>
        <v>5874.247284</v>
      </c>
      <c r="I112" s="141">
        <v>6000.0</v>
      </c>
      <c r="J112" s="139">
        <f t="shared" si="3"/>
        <v>3062.876358</v>
      </c>
      <c r="K112" s="142">
        <f t="shared" si="4"/>
        <v>1.042814921</v>
      </c>
      <c r="L112" s="138"/>
      <c r="M112" s="138"/>
      <c r="N112" s="138"/>
      <c r="O112" s="14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2"/>
      <c r="B113" s="137">
        <v>111.0</v>
      </c>
      <c r="C113" s="138" t="str">
        <f>TEXT(IFERROR(VLOOKUP($B113,Recetas!$B:$C,2,0),""),)</f>
        <v>alfajores masa sable y deco ballina</v>
      </c>
      <c r="D113" s="138"/>
      <c r="E113" s="138"/>
      <c r="F113" s="139">
        <f t="shared" si="1"/>
        <v>18031.6</v>
      </c>
      <c r="G113" s="139">
        <f>IF(C113="","",SUMIF(Recetas!$B:$B,'Costo x Articulo'!$B113,Recetas!$H:$H))</f>
        <v>6010.533333</v>
      </c>
      <c r="H113" s="139">
        <f t="shared" si="2"/>
        <v>12021.06667</v>
      </c>
      <c r="I113" s="141">
        <v>5600.0</v>
      </c>
      <c r="J113" s="139">
        <f t="shared" si="3"/>
        <v>-410.5333333</v>
      </c>
      <c r="K113" s="142">
        <f t="shared" si="4"/>
        <v>-0.06830231372</v>
      </c>
      <c r="L113" s="138"/>
      <c r="M113" s="138"/>
      <c r="N113" s="138"/>
      <c r="O113" s="14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2"/>
      <c r="B114" s="137">
        <v>112.0</v>
      </c>
      <c r="C114" s="138" t="str">
        <f>TEXT(IFERROR(VLOOKUP($B114,Recetas!$B:$C,2,0),""),)</f>
        <v>conitos de coco sin tacc</v>
      </c>
      <c r="D114" s="138"/>
      <c r="E114" s="138"/>
      <c r="F114" s="139">
        <f t="shared" si="1"/>
        <v>7272</v>
      </c>
      <c r="G114" s="139">
        <f>IF(C114="","",SUMIF(Recetas!$B:$B,'Costo x Articulo'!$B114,Recetas!$H:$H))</f>
        <v>2424</v>
      </c>
      <c r="H114" s="139">
        <f t="shared" si="2"/>
        <v>4848</v>
      </c>
      <c r="I114" s="141">
        <v>2600.0</v>
      </c>
      <c r="J114" s="139">
        <f t="shared" si="3"/>
        <v>176</v>
      </c>
      <c r="K114" s="142">
        <f t="shared" si="4"/>
        <v>0.07260726073</v>
      </c>
      <c r="L114" s="138"/>
      <c r="M114" s="138"/>
      <c r="N114" s="138"/>
      <c r="O114" s="14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2"/>
      <c r="B115" s="137">
        <v>113.0</v>
      </c>
      <c r="C115" s="138" t="str">
        <f>TEXT(IFERROR(VLOOKUP($B115,Recetas!$B:$C,2,0),""),)</f>
        <v>tortitas negras sin tacc</v>
      </c>
      <c r="D115" s="138"/>
      <c r="E115" s="138"/>
      <c r="F115" s="139">
        <f t="shared" si="1"/>
        <v>11122</v>
      </c>
      <c r="G115" s="139">
        <f>IF(C115="","",SUMIF(Recetas!$B:$B,'Costo x Articulo'!$B115,Recetas!$H:$H))</f>
        <v>3707.333333</v>
      </c>
      <c r="H115" s="139">
        <f t="shared" si="2"/>
        <v>7414.666667</v>
      </c>
      <c r="I115" s="141">
        <v>3100.0</v>
      </c>
      <c r="J115" s="139">
        <f t="shared" si="3"/>
        <v>-607.3333333</v>
      </c>
      <c r="K115" s="142">
        <f t="shared" si="4"/>
        <v>-0.1638194569</v>
      </c>
      <c r="L115" s="138"/>
      <c r="M115" s="138"/>
      <c r="N115" s="138"/>
      <c r="O115" s="14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2"/>
      <c r="B116" s="137">
        <v>114.0</v>
      </c>
      <c r="C116" s="138" t="str">
        <f>TEXT(IFERROR(VLOOKUP($B116,Recetas!$B:$C,2,0),""),)</f>
        <v>Brownie rectangular 30x20</v>
      </c>
      <c r="D116" s="138"/>
      <c r="E116" s="138"/>
      <c r="F116" s="139">
        <f t="shared" si="1"/>
        <v>85818.7</v>
      </c>
      <c r="G116" s="139">
        <f>IF(C116="","",SUMIF(Recetas!$B:$B,'Costo x Articulo'!$B116,Recetas!$H:$H))</f>
        <v>28606.23333</v>
      </c>
      <c r="H116" s="139">
        <f t="shared" si="2"/>
        <v>57212.46667</v>
      </c>
      <c r="I116" s="141">
        <v>37000.0</v>
      </c>
      <c r="J116" s="139">
        <f t="shared" si="3"/>
        <v>8393.766667</v>
      </c>
      <c r="K116" s="142">
        <f t="shared" si="4"/>
        <v>0.2934243935</v>
      </c>
      <c r="L116" s="138"/>
      <c r="M116" s="138"/>
      <c r="N116" s="138"/>
      <c r="O116" s="14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2"/>
      <c r="B117" s="137">
        <v>115.0</v>
      </c>
      <c r="C117" s="138" t="s">
        <v>748</v>
      </c>
      <c r="D117" s="138"/>
      <c r="E117" s="138"/>
      <c r="F117" s="139">
        <f t="shared" si="1"/>
        <v>9453.24</v>
      </c>
      <c r="G117" s="139">
        <f>IF(C117="","",SUMIF(Recetas!$B:$B,'Costo x Articulo'!$B117,Recetas!$H:$H))/5</f>
        <v>3151.08</v>
      </c>
      <c r="H117" s="139">
        <f t="shared" si="2"/>
        <v>6302.16</v>
      </c>
      <c r="I117" s="141"/>
      <c r="J117" s="139" t="str">
        <f t="shared" si="3"/>
        <v/>
      </c>
      <c r="K117" s="142">
        <f t="shared" si="4"/>
        <v>0</v>
      </c>
      <c r="L117" s="138"/>
      <c r="M117" s="138"/>
      <c r="N117" s="138"/>
      <c r="O117" s="14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2"/>
      <c r="B118" s="137">
        <v>116.0</v>
      </c>
      <c r="C118" s="138" t="str">
        <f>TEXT(IFERROR(VLOOKUP($B118,Recetas!$B:$C,2,0),""),)</f>
        <v>Bizcochuelo 22 cm </v>
      </c>
      <c r="D118" s="138"/>
      <c r="E118" s="138"/>
      <c r="F118" s="139">
        <f t="shared" si="1"/>
        <v>81599</v>
      </c>
      <c r="G118" s="139">
        <f>IF(C118="","",SUMIF(Recetas!$B:$B,'Costo x Articulo'!$B118,Recetas!$H:$H))</f>
        <v>27199.66667</v>
      </c>
      <c r="H118" s="139">
        <f t="shared" si="2"/>
        <v>54399.33333</v>
      </c>
      <c r="I118" s="141"/>
      <c r="J118" s="139" t="str">
        <f t="shared" si="3"/>
        <v/>
      </c>
      <c r="K118" s="142">
        <f t="shared" si="4"/>
        <v>0</v>
      </c>
      <c r="L118" s="138"/>
      <c r="M118" s="138"/>
      <c r="N118" s="138"/>
      <c r="O118" s="14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2"/>
      <c r="B119" s="137">
        <v>117.0</v>
      </c>
      <c r="C119" s="138" t="str">
        <f>TEXT(IFERROR(VLOOKUP($B119,Recetas!$B:$C,2,0),""),)</f>
        <v>brownie vegano con merengue</v>
      </c>
      <c r="D119" s="138"/>
      <c r="E119" s="138"/>
      <c r="F119" s="139">
        <f t="shared" si="1"/>
        <v>28207.98166</v>
      </c>
      <c r="G119" s="139">
        <f>IF(C119="","",SUMIF(Recetas!$B:$B,'Costo x Articulo'!$B119,Recetas!$H:$H))</f>
        <v>9402.660554</v>
      </c>
      <c r="H119" s="139">
        <f t="shared" si="2"/>
        <v>18805.32111</v>
      </c>
      <c r="I119" s="141"/>
      <c r="J119" s="139" t="str">
        <f t="shared" si="3"/>
        <v/>
      </c>
      <c r="K119" s="142">
        <f t="shared" si="4"/>
        <v>0</v>
      </c>
      <c r="L119" s="138"/>
      <c r="M119" s="138"/>
      <c r="N119" s="138"/>
      <c r="O119" s="14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2"/>
      <c r="B120" s="137">
        <v>118.0</v>
      </c>
      <c r="C120" s="138" t="str">
        <f>TEXT(IFERROR(VLOOKUP($B120,Recetas!$B:$C,2,0),""),)</f>
        <v>Dessert shot x6 Oreo</v>
      </c>
      <c r="D120" s="139">
        <v>9000.0</v>
      </c>
      <c r="E120" s="139"/>
      <c r="F120" s="139">
        <f t="shared" si="1"/>
        <v>16653</v>
      </c>
      <c r="G120" s="139">
        <f>IF(C120="","",SUMIF(Recetas!$B:$B,'Costo x Articulo'!$B120,Recetas!$H:$H))</f>
        <v>5551</v>
      </c>
      <c r="H120" s="139">
        <f t="shared" si="2"/>
        <v>11102</v>
      </c>
      <c r="I120" s="141"/>
      <c r="J120" s="139" t="str">
        <f t="shared" si="3"/>
        <v/>
      </c>
      <c r="K120" s="142">
        <f t="shared" si="4"/>
        <v>0</v>
      </c>
      <c r="L120" s="138"/>
      <c r="M120" s="138"/>
      <c r="N120" s="138"/>
      <c r="O120" s="14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2"/>
      <c r="B121" s="137">
        <v>119.0</v>
      </c>
      <c r="C121" s="138" t="str">
        <f>TEXT(IFERROR(VLOOKUP($B121,Recetas!$B:$C,2,0),""),)</f>
        <v>Dessert shot x6 Chocotorta</v>
      </c>
      <c r="D121" s="139">
        <v>9000.0</v>
      </c>
      <c r="E121" s="139"/>
      <c r="F121" s="139">
        <f t="shared" si="1"/>
        <v>14985.85714</v>
      </c>
      <c r="G121" s="139">
        <f>IF(C121="","",SUMIF(Recetas!$B:$B,'Costo x Articulo'!$B121,Recetas!$H:$H))</f>
        <v>4995.285714</v>
      </c>
      <c r="H121" s="139">
        <f t="shared" si="2"/>
        <v>9990.571429</v>
      </c>
      <c r="I121" s="141"/>
      <c r="J121" s="139" t="str">
        <f t="shared" si="3"/>
        <v/>
      </c>
      <c r="K121" s="142">
        <f t="shared" si="4"/>
        <v>0</v>
      </c>
      <c r="L121" s="138"/>
      <c r="M121" s="138"/>
      <c r="N121" s="138"/>
      <c r="O121" s="14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2"/>
      <c r="B122" s="137">
        <v>120.0</v>
      </c>
      <c r="C122" s="138" t="str">
        <f>TEXT(IFERROR(VLOOKUP($B122,Recetas!$B:$C,2,0),""),)</f>
        <v>Dessert shot x6 Lemon Pie</v>
      </c>
      <c r="D122" s="139">
        <v>7000.0</v>
      </c>
      <c r="E122" s="139"/>
      <c r="F122" s="139">
        <f t="shared" si="1"/>
        <v>9171.2</v>
      </c>
      <c r="G122" s="139">
        <f>IF(C122="","",SUMIF(Recetas!$B:$B,'Costo x Articulo'!$B122,Recetas!$H:$H))</f>
        <v>3057.066667</v>
      </c>
      <c r="H122" s="139">
        <f t="shared" si="2"/>
        <v>6114.133333</v>
      </c>
      <c r="I122" s="141"/>
      <c r="J122" s="139" t="str">
        <f t="shared" si="3"/>
        <v/>
      </c>
      <c r="K122" s="142">
        <f t="shared" si="4"/>
        <v>0</v>
      </c>
      <c r="L122" s="138"/>
      <c r="M122" s="138"/>
      <c r="N122" s="138"/>
      <c r="O122" s="14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2"/>
      <c r="B123" s="137">
        <v>121.0</v>
      </c>
      <c r="C123" s="138" t="str">
        <f>TEXT(IFERROR(VLOOKUP($B123,Recetas!$B:$C,2,0),""),)</f>
        <v>Dessert shot x6 Cheescake</v>
      </c>
      <c r="D123" s="139">
        <v>7000.0</v>
      </c>
      <c r="E123" s="139"/>
      <c r="F123" s="139">
        <f t="shared" si="1"/>
        <v>11138.42416</v>
      </c>
      <c r="G123" s="139">
        <f>IF(C123="","",SUMIF(Recetas!$B:$B,'Costo x Articulo'!$B123,Recetas!$H:$H))</f>
        <v>3712.808053</v>
      </c>
      <c r="H123" s="139">
        <f t="shared" si="2"/>
        <v>7425.616106</v>
      </c>
      <c r="I123" s="141"/>
      <c r="J123" s="139"/>
      <c r="K123" s="142"/>
      <c r="L123" s="138"/>
      <c r="M123" s="138"/>
      <c r="N123" s="138"/>
      <c r="O123" s="14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2"/>
      <c r="B124" s="137">
        <v>122.0</v>
      </c>
      <c r="C124" s="138" t="str">
        <f>TEXT(IFERROR(VLOOKUP($B124,Recetas!$B:$C,2,0),""),)</f>
        <v>Dessert shot x6 Frutillas con crema</v>
      </c>
      <c r="D124" s="139">
        <v>7000.0</v>
      </c>
      <c r="E124" s="139"/>
      <c r="F124" s="139">
        <f t="shared" si="1"/>
        <v>12928.7</v>
      </c>
      <c r="G124" s="139">
        <f>IF(C124="","",SUMIF(Recetas!$B:$B,'Costo x Articulo'!$B124,Recetas!$H:$H))</f>
        <v>4309.566667</v>
      </c>
      <c r="H124" s="139">
        <f t="shared" si="2"/>
        <v>8619.133333</v>
      </c>
      <c r="I124" s="141"/>
      <c r="J124" s="139"/>
      <c r="K124" s="142"/>
      <c r="L124" s="138"/>
      <c r="M124" s="138"/>
      <c r="N124" s="138"/>
      <c r="O124" s="14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2"/>
      <c r="B125" s="137">
        <v>123.0</v>
      </c>
      <c r="C125" s="138" t="str">
        <f>TEXT(IFERROR(VLOOKUP($B125,Recetas!$B:$C,2,0),""),)</f>
        <v>Dessert shot x6 Brownie</v>
      </c>
      <c r="D125" s="139">
        <v>8000.0</v>
      </c>
      <c r="E125" s="139"/>
      <c r="F125" s="139">
        <f t="shared" si="1"/>
        <v>9735.029167</v>
      </c>
      <c r="G125" s="139">
        <f>IF(C125="","",SUMIF(Recetas!$B:$B,'Costo x Articulo'!$B125,Recetas!$H:$H))</f>
        <v>3245.009722</v>
      </c>
      <c r="H125" s="139">
        <f t="shared" si="2"/>
        <v>6490.019444</v>
      </c>
      <c r="I125" s="141"/>
      <c r="J125" s="139"/>
      <c r="K125" s="142"/>
      <c r="L125" s="138"/>
      <c r="M125" s="138"/>
      <c r="N125" s="138"/>
      <c r="O125" s="14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2"/>
      <c r="B126" s="137">
        <v>124.0</v>
      </c>
      <c r="C126" s="138" t="str">
        <f>TEXT(IFERROR(VLOOKUP($B126,Recetas!$B:$C,2,0),""),)</f>
        <v>Budín de frutos secos</v>
      </c>
      <c r="D126" s="139">
        <v>12000.0</v>
      </c>
      <c r="E126" s="140" t="s">
        <v>588</v>
      </c>
      <c r="F126" s="139">
        <f t="shared" si="1"/>
        <v>19814.2</v>
      </c>
      <c r="G126" s="139">
        <f>IF(C126="","",SUMIF(Recetas!$B:$B,'Costo x Articulo'!$B126,Recetas!$H:$H))</f>
        <v>6604.733333</v>
      </c>
      <c r="H126" s="139">
        <f t="shared" si="2"/>
        <v>13209.46667</v>
      </c>
      <c r="I126" s="141"/>
      <c r="J126" s="139"/>
      <c r="K126" s="142"/>
      <c r="L126" s="138"/>
      <c r="M126" s="138"/>
      <c r="N126" s="138"/>
      <c r="O126" s="14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2"/>
      <c r="B127" s="137">
        <v>125.0</v>
      </c>
      <c r="C127" s="138" t="str">
        <f>TEXT(IFERROR(VLOOKUP($B127,Recetas!$B:$C,2,0),""),)</f>
        <v>Chocotorta clásica redonda 22cm</v>
      </c>
      <c r="D127" s="139">
        <v>24000.0</v>
      </c>
      <c r="E127" s="140" t="s">
        <v>588</v>
      </c>
      <c r="F127" s="139">
        <f t="shared" si="1"/>
        <v>50710.71429</v>
      </c>
      <c r="G127" s="139">
        <f>IF(C127="","",SUMIF(Recetas!$B:$B,'Costo x Articulo'!$B127,Recetas!$H:$H))</f>
        <v>16903.57143</v>
      </c>
      <c r="H127" s="139">
        <f t="shared" si="2"/>
        <v>33807.14286</v>
      </c>
      <c r="I127" s="141"/>
      <c r="J127" s="139"/>
      <c r="K127" s="142"/>
      <c r="L127" s="138"/>
      <c r="M127" s="138"/>
      <c r="N127" s="138"/>
      <c r="O127" s="14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2"/>
      <c r="B128" s="137">
        <v>126.0</v>
      </c>
      <c r="C128" s="138" t="str">
        <f>TEXT(IFERROR(VLOOKUP($B128,Recetas!$B:$C,2,0),""),)</f>
        <v>bizcochuelo 20 cm correcto</v>
      </c>
      <c r="D128" s="145">
        <v>33000.0</v>
      </c>
      <c r="E128" s="138"/>
      <c r="F128" s="139">
        <f t="shared" si="1"/>
        <v>65500</v>
      </c>
      <c r="G128" s="139">
        <f>IF(C128="","",SUMIF(Recetas!$B:$B,'Costo x Articulo'!$B128,Recetas!$H:$H))</f>
        <v>21833.33333</v>
      </c>
      <c r="H128" s="139">
        <f t="shared" si="2"/>
        <v>43666.66667</v>
      </c>
      <c r="I128" s="141"/>
      <c r="J128" s="139"/>
      <c r="K128" s="142"/>
      <c r="L128" s="138"/>
      <c r="M128" s="138"/>
      <c r="N128" s="138"/>
      <c r="O128" s="14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2"/>
      <c r="B129" s="137">
        <v>127.0</v>
      </c>
      <c r="C129" s="138" t="str">
        <f>TEXT(IFERROR(VLOOKUP($B129,Recetas!$B:$C,2,0),""),)</f>
        <v>red velvet </v>
      </c>
      <c r="D129" s="138">
        <v>28000.0</v>
      </c>
      <c r="E129" s="138"/>
      <c r="F129" s="139">
        <f t="shared" si="1"/>
        <v>51089.95238</v>
      </c>
      <c r="G129" s="139">
        <f>IF(C129="","",SUMIF(Recetas!$B:$B,'Costo x Articulo'!$B129,Recetas!$H:$H))</f>
        <v>17029.98413</v>
      </c>
      <c r="H129" s="139">
        <f t="shared" si="2"/>
        <v>34059.96825</v>
      </c>
      <c r="I129" s="141"/>
      <c r="J129" s="139"/>
      <c r="K129" s="142"/>
      <c r="L129" s="138"/>
      <c r="M129" s="138"/>
      <c r="N129" s="138"/>
      <c r="O129" s="14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2"/>
      <c r="B130" s="137">
        <v>128.0</v>
      </c>
      <c r="C130" s="138" t="s">
        <v>749</v>
      </c>
      <c r="D130" s="138"/>
      <c r="E130" s="138"/>
      <c r="F130" s="139">
        <f t="shared" si="1"/>
        <v>76110</v>
      </c>
      <c r="G130" s="139">
        <f>IF(C130="","",SUMIF(Recetas!$B:$B,'Costo x Articulo'!$B130,Recetas!$H:$H))</f>
        <v>25370</v>
      </c>
      <c r="H130" s="139">
        <f t="shared" si="2"/>
        <v>50740</v>
      </c>
      <c r="I130" s="141"/>
      <c r="J130" s="139"/>
      <c r="K130" s="142"/>
      <c r="L130" s="138"/>
      <c r="M130" s="138"/>
      <c r="N130" s="138"/>
      <c r="O130" s="14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2"/>
      <c r="B131" s="137">
        <v>129.0</v>
      </c>
      <c r="C131" s="138" t="str">
        <f>TEXT(IFERROR(VLOOKUP($B131,Recetas!$B:$C,2,0),""),)</f>
        <v>canape de queso crema y cibulet x 50</v>
      </c>
      <c r="D131" s="138"/>
      <c r="E131" s="138"/>
      <c r="F131" s="139">
        <f t="shared" si="1"/>
        <v>58200</v>
      </c>
      <c r="G131" s="139">
        <f>IF(C131="","",SUMIF(Recetas!$B:$B,'Costo x Articulo'!$B131,Recetas!$H:$H))</f>
        <v>19400</v>
      </c>
      <c r="H131" s="139">
        <f t="shared" si="2"/>
        <v>38800</v>
      </c>
      <c r="I131" s="141"/>
      <c r="J131" s="139"/>
      <c r="K131" s="142"/>
      <c r="L131" s="138"/>
      <c r="M131" s="138"/>
      <c r="N131" s="138"/>
      <c r="O131" s="14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2"/>
      <c r="B132" s="137">
        <v>130.0</v>
      </c>
      <c r="C132" s="138" t="str">
        <f>TEXT(IFERROR(VLOOKUP($B132,Recetas!$B:$C,2,0),""),)</f>
        <v>empanadas copetin x 24</v>
      </c>
      <c r="D132" s="138"/>
      <c r="E132" s="138"/>
      <c r="F132" s="139">
        <f t="shared" si="1"/>
        <v>55050</v>
      </c>
      <c r="G132" s="139">
        <f>IF(C132="","",SUMIF(Recetas!$B:$B,'Costo x Articulo'!$B132,Recetas!$H:$H))</f>
        <v>18350</v>
      </c>
      <c r="H132" s="139">
        <f t="shared" si="2"/>
        <v>36700</v>
      </c>
      <c r="I132" s="141"/>
      <c r="J132" s="139"/>
      <c r="K132" s="142"/>
      <c r="L132" s="138"/>
      <c r="M132" s="138"/>
      <c r="N132" s="138"/>
      <c r="O132" s="14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2"/>
      <c r="B133" s="137">
        <v>131.0</v>
      </c>
      <c r="C133" s="138" t="str">
        <f>TEXT(IFERROR(VLOOKUP($B133,Recetas!$B:$C,2,0),""),)</f>
        <v>figacitas con bondiola </v>
      </c>
      <c r="D133" s="138"/>
      <c r="E133" s="138"/>
      <c r="F133" s="139">
        <f t="shared" si="1"/>
        <v>134900</v>
      </c>
      <c r="G133" s="139">
        <f>IF(C133="","",SUMIF(Recetas!$B:$B,'Costo x Articulo'!$B133,Recetas!$H:$H))</f>
        <v>44966.66667</v>
      </c>
      <c r="H133" s="139">
        <f t="shared" si="2"/>
        <v>89933.33333</v>
      </c>
      <c r="I133" s="141"/>
      <c r="J133" s="139"/>
      <c r="K133" s="142"/>
      <c r="L133" s="138"/>
      <c r="M133" s="138"/>
      <c r="N133" s="138"/>
      <c r="O133" s="14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2"/>
      <c r="B134" s="137">
        <v>132.0</v>
      </c>
      <c r="C134" s="138" t="str">
        <f>TEXT(IFERROR(VLOOKUP($B134,Recetas!$B:$C,2,0),""),)</f>
        <v>pinchos capresse</v>
      </c>
      <c r="D134" s="138"/>
      <c r="E134" s="138"/>
      <c r="F134" s="139">
        <f t="shared" si="1"/>
        <v>74625</v>
      </c>
      <c r="G134" s="139">
        <f>IF(C134="","",SUMIF(Recetas!$B:$B,'Costo x Articulo'!$B134,Recetas!$H:$H))</f>
        <v>24875</v>
      </c>
      <c r="H134" s="139">
        <f t="shared" si="2"/>
        <v>49750</v>
      </c>
      <c r="I134" s="141"/>
      <c r="J134" s="139"/>
      <c r="K134" s="142"/>
      <c r="L134" s="138"/>
      <c r="M134" s="138"/>
      <c r="N134" s="138"/>
      <c r="O134" s="14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2"/>
      <c r="B135" s="137">
        <v>133.0</v>
      </c>
      <c r="C135" s="138" t="str">
        <f>TEXT(IFERROR(VLOOKUP($B135,Recetas!$B:$C,2,0),""),)</f>
        <v>desayuno dia de la madre </v>
      </c>
      <c r="D135" s="138"/>
      <c r="E135" s="138"/>
      <c r="F135" s="139">
        <f t="shared" si="1"/>
        <v>25357.65167</v>
      </c>
      <c r="G135" s="139">
        <f>IF(C135="","",SUMIF(Recetas!$B:$B,'Costo x Articulo'!$B135,Recetas!$H:$H))</f>
        <v>8452.550556</v>
      </c>
      <c r="H135" s="139">
        <f t="shared" si="2"/>
        <v>16905.10111</v>
      </c>
      <c r="I135" s="141"/>
      <c r="J135" s="139"/>
      <c r="K135" s="142"/>
      <c r="L135" s="138"/>
      <c r="M135" s="138"/>
      <c r="N135" s="138"/>
      <c r="O135" s="14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2"/>
      <c r="B136" s="137">
        <v>134.0</v>
      </c>
      <c r="C136" s="138" t="str">
        <f>TEXT(IFERROR(VLOOKUP($B136,Recetas!$B:$C,2,0),""),)</f>
        <v>Torta Matilda 20 x 10</v>
      </c>
      <c r="D136" s="138"/>
      <c r="E136" s="138"/>
      <c r="F136" s="139">
        <f t="shared" si="1"/>
        <v>49166</v>
      </c>
      <c r="G136" s="139">
        <f>IF(C136="","",SUMIF(Recetas!$B:$B,'Costo x Articulo'!$B136,Recetas!$H:$H))</f>
        <v>16388.66667</v>
      </c>
      <c r="H136" s="139">
        <f t="shared" si="2"/>
        <v>32777.33333</v>
      </c>
      <c r="I136" s="141"/>
      <c r="J136" s="139"/>
      <c r="K136" s="142"/>
      <c r="L136" s="138"/>
      <c r="M136" s="138"/>
      <c r="N136" s="138"/>
      <c r="O136" s="14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2"/>
      <c r="B137" s="137">
        <v>135.0</v>
      </c>
      <c r="C137" s="138" t="str">
        <f>TEXT(IFERROR(VLOOKUP($B137,Recetas!$B:$C,2,0),""),)</f>
        <v>desayuno dia del padre 2025</v>
      </c>
      <c r="D137" s="145">
        <v>22000.0</v>
      </c>
      <c r="E137" s="138"/>
      <c r="F137" s="139">
        <f t="shared" si="1"/>
        <v>33385.0194</v>
      </c>
      <c r="G137" s="139">
        <f>IF(C137="","",SUMIF(Recetas!$B:$B,'Costo x Articulo'!$B137,Recetas!$H:$H))</f>
        <v>11128.3398</v>
      </c>
      <c r="H137" s="139">
        <f t="shared" si="2"/>
        <v>22256.6796</v>
      </c>
      <c r="I137" s="141"/>
      <c r="J137" s="139"/>
      <c r="K137" s="142"/>
      <c r="L137" s="138"/>
      <c r="M137" s="138"/>
      <c r="N137" s="138"/>
      <c r="O137" s="14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2"/>
      <c r="B138" s="137">
        <v>136.0</v>
      </c>
      <c r="C138" s="138" t="str">
        <f>TEXT(IFERROR(VLOOKUP($B138,Recetas!$B:$C,2,0),""),)</f>
        <v>Donas bañadas en choco </v>
      </c>
      <c r="D138" s="138"/>
      <c r="E138" s="138"/>
      <c r="F138" s="139">
        <f t="shared" si="1"/>
        <v>20295</v>
      </c>
      <c r="G138" s="139">
        <f>IF(C138="","",SUMIF(Recetas!$B:$B,'Costo x Articulo'!$B138,Recetas!$H:$H))</f>
        <v>6765</v>
      </c>
      <c r="H138" s="139">
        <f t="shared" si="2"/>
        <v>13530</v>
      </c>
      <c r="I138" s="141"/>
      <c r="J138" s="139"/>
      <c r="K138" s="142"/>
      <c r="L138" s="138"/>
      <c r="M138" s="138"/>
      <c r="N138" s="138"/>
      <c r="O138" s="14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2"/>
      <c r="B139" s="137">
        <v>137.0</v>
      </c>
      <c r="C139" s="138" t="str">
        <f>TEXT(IFERROR(VLOOKUP($B139,Recetas!$B:$C,2,0),""),)</f>
        <v>cookies de avena y coco </v>
      </c>
      <c r="D139" s="138"/>
      <c r="E139" s="138"/>
      <c r="F139" s="139">
        <f t="shared" si="1"/>
        <v>9033.414286</v>
      </c>
      <c r="G139" s="139">
        <f>IF(C139="","",SUMIF(Recetas!$B:$B,'Costo x Articulo'!$B139,Recetas!$H:$H))</f>
        <v>3011.138095</v>
      </c>
      <c r="H139" s="139">
        <f t="shared" si="2"/>
        <v>6022.27619</v>
      </c>
      <c r="I139" s="141"/>
      <c r="J139" s="139"/>
      <c r="K139" s="142"/>
      <c r="L139" s="138"/>
      <c r="M139" s="138"/>
      <c r="N139" s="138"/>
      <c r="O139" s="14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2"/>
      <c r="B140" s="137">
        <v>138.0</v>
      </c>
      <c r="C140" s="138" t="str">
        <f>TEXT(IFERROR(VLOOKUP($B140,Recetas!$B:$C,2,0),""),)</f>
        <v>key lime Pie </v>
      </c>
      <c r="D140" s="138"/>
      <c r="E140" s="138"/>
      <c r="F140" s="139">
        <f t="shared" si="1"/>
        <v>34500</v>
      </c>
      <c r="G140" s="139">
        <f>IF(C140="","",SUMIF(Recetas!$B:$B,'Costo x Articulo'!$B140,Recetas!$H:$H))</f>
        <v>11500</v>
      </c>
      <c r="H140" s="139">
        <f t="shared" si="2"/>
        <v>23000</v>
      </c>
      <c r="I140" s="141"/>
      <c r="J140" s="139"/>
      <c r="K140" s="142"/>
      <c r="L140" s="138"/>
      <c r="M140" s="138"/>
      <c r="N140" s="138"/>
      <c r="O140" s="14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2"/>
      <c r="B141" s="137"/>
      <c r="C141" s="138" t="str">
        <f>TEXT(IFERROR(VLOOKUP($B141,Recetas!$B:$C,2,0),""),)</f>
        <v/>
      </c>
      <c r="D141" s="138"/>
      <c r="E141" s="138"/>
      <c r="F141" s="139">
        <f t="shared" si="1"/>
        <v>0</v>
      </c>
      <c r="G141" s="139" t="str">
        <f>IF(C141="","",SUMIF(Recetas!$B:$B,'Costo x Articulo'!$B141,Recetas!$H:$H))</f>
        <v/>
      </c>
      <c r="H141" s="139">
        <f t="shared" si="2"/>
        <v>0</v>
      </c>
      <c r="I141" s="141"/>
      <c r="J141" s="139"/>
      <c r="K141" s="142"/>
      <c r="L141" s="138"/>
      <c r="M141" s="138"/>
      <c r="N141" s="138"/>
      <c r="O141" s="14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2"/>
      <c r="B142" s="137"/>
      <c r="C142" s="138" t="str">
        <f>TEXT(IFERROR(VLOOKUP($B142,Recetas!$B:$C,2,0),""),)</f>
        <v/>
      </c>
      <c r="D142" s="138"/>
      <c r="E142" s="138"/>
      <c r="F142" s="139">
        <f t="shared" si="1"/>
        <v>0</v>
      </c>
      <c r="G142" s="139" t="str">
        <f>IF(C142="","",SUMIF(Recetas!$B:$B,'Costo x Articulo'!$B142,Recetas!$H:$H))</f>
        <v/>
      </c>
      <c r="H142" s="139">
        <f t="shared" si="2"/>
        <v>0</v>
      </c>
      <c r="I142" s="141"/>
      <c r="J142" s="139"/>
      <c r="K142" s="142"/>
      <c r="L142" s="138"/>
      <c r="M142" s="138"/>
      <c r="N142" s="138"/>
      <c r="O142" s="14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2"/>
      <c r="B143" s="137"/>
      <c r="C143" s="138" t="str">
        <f>TEXT(IFERROR(VLOOKUP($B143,Recetas!$B:$C,2,0),""),)</f>
        <v/>
      </c>
      <c r="D143" s="138"/>
      <c r="E143" s="138"/>
      <c r="F143" s="139">
        <f t="shared" si="1"/>
        <v>0</v>
      </c>
      <c r="G143" s="139" t="str">
        <f>IF(C143="","",SUMIF(Recetas!$B:$B,'Costo x Articulo'!$B143,Recetas!$H:$H))</f>
        <v/>
      </c>
      <c r="H143" s="139">
        <f t="shared" si="2"/>
        <v>0</v>
      </c>
      <c r="I143" s="141"/>
      <c r="J143" s="139"/>
      <c r="K143" s="142"/>
      <c r="L143" s="138"/>
      <c r="M143" s="138"/>
      <c r="N143" s="138"/>
      <c r="O143" s="14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2"/>
      <c r="B144" s="137"/>
      <c r="C144" s="138" t="str">
        <f>TEXT(IFERROR(VLOOKUP($B144,Recetas!$B:$C,2,0),""),)</f>
        <v/>
      </c>
      <c r="D144" s="138"/>
      <c r="E144" s="138"/>
      <c r="F144" s="139">
        <f t="shared" si="1"/>
        <v>0</v>
      </c>
      <c r="G144" s="139" t="str">
        <f>IF(C144="","",SUMIF(Recetas!$B:$B,'Costo x Articulo'!$B144,Recetas!$H:$H))</f>
        <v/>
      </c>
      <c r="H144" s="139">
        <f t="shared" si="2"/>
        <v>0</v>
      </c>
      <c r="I144" s="141"/>
      <c r="J144" s="139"/>
      <c r="K144" s="142"/>
      <c r="L144" s="138"/>
      <c r="M144" s="138"/>
      <c r="N144" s="138"/>
      <c r="O144" s="14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2"/>
      <c r="B145" s="137"/>
      <c r="C145" s="138" t="str">
        <f>TEXT(IFERROR(VLOOKUP($B145,Recetas!$B:$C,2,0),""),)</f>
        <v/>
      </c>
      <c r="D145" s="138"/>
      <c r="E145" s="138"/>
      <c r="F145" s="139">
        <f t="shared" si="1"/>
        <v>0</v>
      </c>
      <c r="G145" s="139" t="str">
        <f>IF(C145="","",SUMIF(Recetas!$B:$B,'Costo x Articulo'!$B145,Recetas!$H:$H))</f>
        <v/>
      </c>
      <c r="H145" s="139">
        <f t="shared" si="2"/>
        <v>0</v>
      </c>
      <c r="I145" s="141"/>
      <c r="J145" s="139"/>
      <c r="K145" s="142"/>
      <c r="L145" s="138"/>
      <c r="M145" s="138"/>
      <c r="N145" s="138"/>
      <c r="O145" s="14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2"/>
      <c r="B146" s="137"/>
      <c r="C146" s="138" t="str">
        <f>TEXT(IFERROR(VLOOKUP($B146,Recetas!$B:$C,2,0),""),)</f>
        <v/>
      </c>
      <c r="D146" s="138"/>
      <c r="E146" s="138"/>
      <c r="F146" s="139">
        <f t="shared" si="1"/>
        <v>0</v>
      </c>
      <c r="G146" s="139" t="str">
        <f>IF(C146="","",SUMIF(Recetas!$B:$B,'Costo x Articulo'!$B146,Recetas!$H:$H))</f>
        <v/>
      </c>
      <c r="H146" s="139">
        <f t="shared" si="2"/>
        <v>0</v>
      </c>
      <c r="I146" s="141"/>
      <c r="J146" s="139"/>
      <c r="K146" s="142"/>
      <c r="L146" s="138"/>
      <c r="M146" s="138"/>
      <c r="N146" s="138"/>
      <c r="O146" s="14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2"/>
      <c r="B147" s="137"/>
      <c r="C147" s="138" t="str">
        <f>TEXT(IFERROR(VLOOKUP($B147,Recetas!$B:$C,2,0),""),)</f>
        <v/>
      </c>
      <c r="D147" s="138"/>
      <c r="E147" s="138"/>
      <c r="F147" s="139">
        <f t="shared" si="1"/>
        <v>0</v>
      </c>
      <c r="G147" s="139" t="str">
        <f>IF(C147="","",SUMIF(Recetas!$B:$B,'Costo x Articulo'!$B147,Recetas!$H:$H))</f>
        <v/>
      </c>
      <c r="H147" s="139">
        <f t="shared" si="2"/>
        <v>0</v>
      </c>
      <c r="I147" s="141"/>
      <c r="J147" s="139"/>
      <c r="K147" s="142"/>
      <c r="L147" s="138"/>
      <c r="M147" s="138"/>
      <c r="N147" s="138"/>
      <c r="O147" s="14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2"/>
      <c r="B148" s="137"/>
      <c r="C148" s="138" t="str">
        <f>TEXT(IFERROR(VLOOKUP($B148,Recetas!$B:$C,2,0),""),)</f>
        <v/>
      </c>
      <c r="D148" s="138"/>
      <c r="E148" s="138"/>
      <c r="F148" s="139">
        <f t="shared" si="1"/>
        <v>0</v>
      </c>
      <c r="G148" s="139" t="str">
        <f>IF(C148="","",SUMIF(Recetas!$B:$B,'Costo x Articulo'!$B148,Recetas!$H:$H))</f>
        <v/>
      </c>
      <c r="H148" s="139">
        <f t="shared" si="2"/>
        <v>0</v>
      </c>
      <c r="I148" s="141"/>
      <c r="J148" s="139"/>
      <c r="K148" s="142"/>
      <c r="L148" s="138"/>
      <c r="M148" s="138"/>
      <c r="N148" s="138"/>
      <c r="O148" s="14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2"/>
      <c r="B149" s="137"/>
      <c r="C149" s="138" t="str">
        <f>TEXT(IFERROR(VLOOKUP($B149,Recetas!$B:$C,2,0),""),)</f>
        <v/>
      </c>
      <c r="D149" s="138"/>
      <c r="E149" s="138"/>
      <c r="F149" s="139">
        <f t="shared" si="1"/>
        <v>0</v>
      </c>
      <c r="G149" s="139" t="str">
        <f>IF(C149="","",SUMIF(Recetas!$B:$B,'Costo x Articulo'!$B149,Recetas!$H:$H))</f>
        <v/>
      </c>
      <c r="H149" s="139">
        <f t="shared" si="2"/>
        <v>0</v>
      </c>
      <c r="I149" s="141"/>
      <c r="J149" s="139"/>
      <c r="K149" s="142"/>
      <c r="L149" s="138"/>
      <c r="M149" s="138"/>
      <c r="N149" s="138"/>
      <c r="O149" s="14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2"/>
      <c r="B150" s="137"/>
      <c r="C150" s="138" t="str">
        <f>TEXT(IFERROR(VLOOKUP($B150,Recetas!$B:$C,2,0),""),)</f>
        <v/>
      </c>
      <c r="D150" s="138"/>
      <c r="E150" s="138"/>
      <c r="F150" s="139">
        <f t="shared" si="1"/>
        <v>0</v>
      </c>
      <c r="G150" s="139" t="str">
        <f>IF(C150="","",SUMIF(Recetas!$B:$B,'Costo x Articulo'!$B150,Recetas!$H:$H))</f>
        <v/>
      </c>
      <c r="H150" s="139">
        <f t="shared" si="2"/>
        <v>0</v>
      </c>
      <c r="I150" s="141"/>
      <c r="J150" s="139"/>
      <c r="K150" s="142"/>
      <c r="L150" s="138"/>
      <c r="M150" s="138"/>
      <c r="N150" s="138"/>
      <c r="O150" s="14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2"/>
      <c r="B151" s="137"/>
      <c r="C151" s="138" t="str">
        <f>TEXT(IFERROR(VLOOKUP($B151,Recetas!$B:$C,2,0),""),)</f>
        <v/>
      </c>
      <c r="D151" s="138"/>
      <c r="E151" s="138"/>
      <c r="F151" s="139">
        <f t="shared" si="1"/>
        <v>0</v>
      </c>
      <c r="G151" s="139" t="str">
        <f>IF(C151="","",SUMIF(Recetas!$B:$B,'Costo x Articulo'!$B151,Recetas!$H:$H))</f>
        <v/>
      </c>
      <c r="H151" s="139">
        <f t="shared" si="2"/>
        <v>0</v>
      </c>
      <c r="I151" s="141"/>
      <c r="J151" s="139"/>
      <c r="K151" s="142"/>
      <c r="L151" s="138"/>
      <c r="M151" s="138"/>
      <c r="N151" s="138"/>
      <c r="O151" s="14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2"/>
      <c r="B152" s="137"/>
      <c r="C152" s="138" t="str">
        <f>TEXT(IFERROR(VLOOKUP($B152,Recetas!$B:$C,2,0),""),)</f>
        <v/>
      </c>
      <c r="D152" s="138"/>
      <c r="E152" s="138"/>
      <c r="F152" s="139">
        <f t="shared" si="1"/>
        <v>0</v>
      </c>
      <c r="G152" s="139" t="str">
        <f>IF(C152="","",SUMIF(Recetas!$B:$B,'Costo x Articulo'!$B152,Recetas!$H:$H))</f>
        <v/>
      </c>
      <c r="H152" s="139">
        <f t="shared" si="2"/>
        <v>0</v>
      </c>
      <c r="I152" s="141"/>
      <c r="J152" s="139"/>
      <c r="K152" s="142"/>
      <c r="L152" s="138"/>
      <c r="M152" s="138"/>
      <c r="N152" s="138"/>
      <c r="O152" s="14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4.5" customHeight="1">
      <c r="A153" s="2"/>
      <c r="B153" s="146"/>
      <c r="C153" s="147" t="str">
        <f>TEXT(IFERROR(VLOOKUP($B153,Recetas!$B:$C,2,0),""),)</f>
        <v/>
      </c>
      <c r="D153" s="147"/>
      <c r="E153" s="147"/>
      <c r="F153" s="148">
        <f t="shared" si="1"/>
        <v>0</v>
      </c>
      <c r="G153" s="148"/>
      <c r="H153" s="148">
        <f t="shared" si="2"/>
        <v>0</v>
      </c>
      <c r="I153" s="149"/>
      <c r="J153" s="148"/>
      <c r="K153" s="150"/>
      <c r="L153" s="147"/>
      <c r="M153" s="147"/>
      <c r="N153" s="147"/>
      <c r="O153" s="151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2"/>
      <c r="B154" s="2"/>
      <c r="C154" s="2"/>
      <c r="D154" s="2"/>
      <c r="E154" s="2"/>
      <c r="G154" s="2"/>
      <c r="H154" s="2"/>
      <c r="I154" s="2"/>
      <c r="J154" s="2"/>
      <c r="K154" s="2"/>
      <c r="L154" s="2"/>
      <c r="M154" s="2"/>
      <c r="N154" s="60"/>
      <c r="O154" s="6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2"/>
      <c r="B155" s="2"/>
      <c r="C155" s="2"/>
      <c r="D155" s="60"/>
      <c r="E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2"/>
      <c r="B156" s="2"/>
      <c r="C156" s="2"/>
      <c r="D156" s="2"/>
      <c r="E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2"/>
      <c r="B157" s="2"/>
      <c r="C157" s="2"/>
      <c r="D157" s="2"/>
      <c r="E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2"/>
      <c r="B158" s="2"/>
      <c r="C158" s="2"/>
      <c r="D158" s="2"/>
      <c r="E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2"/>
      <c r="B159" s="2"/>
      <c r="C159" s="2"/>
      <c r="D159" s="2"/>
      <c r="E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2"/>
      <c r="B160" s="2"/>
      <c r="C160" s="2"/>
      <c r="D160" s="2"/>
      <c r="E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2"/>
      <c r="B161" s="2"/>
      <c r="C161" s="2"/>
      <c r="D161" s="2"/>
      <c r="E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2"/>
      <c r="B162" s="2"/>
      <c r="C162" s="2"/>
      <c r="D162" s="2"/>
      <c r="E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2"/>
      <c r="B163" s="2"/>
      <c r="C163" s="2"/>
      <c r="D163" s="2"/>
      <c r="E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2"/>
      <c r="B164" s="2"/>
      <c r="C164" s="2"/>
      <c r="D164" s="2"/>
      <c r="E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2"/>
      <c r="B165" s="2"/>
      <c r="C165" s="2"/>
      <c r="D165" s="2"/>
      <c r="E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2"/>
      <c r="B166" s="2"/>
      <c r="C166" s="2"/>
      <c r="D166" s="2"/>
      <c r="E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2"/>
      <c r="B167" s="2"/>
      <c r="C167" s="2"/>
      <c r="D167" s="2"/>
      <c r="E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2"/>
      <c r="B168" s="2"/>
      <c r="C168" s="2"/>
      <c r="D168" s="2"/>
      <c r="E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2"/>
      <c r="B169" s="2"/>
      <c r="C169" s="2"/>
      <c r="D169" s="2"/>
      <c r="E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2"/>
      <c r="B170" s="2"/>
      <c r="C170" s="2"/>
      <c r="D170" s="2"/>
      <c r="E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2"/>
      <c r="B171" s="2"/>
      <c r="C171" s="2"/>
      <c r="D171" s="2"/>
      <c r="E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2"/>
      <c r="B172" s="2"/>
      <c r="C172" s="2"/>
      <c r="D172" s="2"/>
      <c r="E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2"/>
      <c r="B173" s="2"/>
      <c r="C173" s="2"/>
      <c r="D173" s="2"/>
      <c r="E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2"/>
      <c r="B174" s="2"/>
      <c r="C174" s="2"/>
      <c r="D174" s="2"/>
      <c r="E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2"/>
      <c r="B175" s="2"/>
      <c r="C175" s="2"/>
      <c r="D175" s="2"/>
      <c r="E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2"/>
      <c r="B176" s="2"/>
      <c r="C176" s="2"/>
      <c r="D176" s="2"/>
      <c r="E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2"/>
      <c r="B177" s="2"/>
      <c r="C177" s="2"/>
      <c r="D177" s="2"/>
      <c r="E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2"/>
      <c r="B178" s="2"/>
      <c r="C178" s="2"/>
      <c r="D178" s="2"/>
      <c r="E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2"/>
      <c r="B179" s="2"/>
      <c r="C179" s="2"/>
      <c r="D179" s="2"/>
      <c r="E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2"/>
      <c r="B180" s="2"/>
      <c r="C180" s="2"/>
      <c r="D180" s="2"/>
      <c r="E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2"/>
      <c r="B181" s="2"/>
      <c r="C181" s="2"/>
      <c r="D181" s="2"/>
      <c r="E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2"/>
      <c r="B182" s="2"/>
      <c r="C182" s="2"/>
      <c r="D182" s="2"/>
      <c r="E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2"/>
      <c r="B183" s="2"/>
      <c r="C183" s="2"/>
      <c r="D183" s="2"/>
      <c r="E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2"/>
      <c r="B184" s="2"/>
      <c r="C184" s="2"/>
      <c r="D184" s="2"/>
      <c r="E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2"/>
      <c r="B185" s="2"/>
      <c r="C185" s="2"/>
      <c r="D185" s="2"/>
      <c r="E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2"/>
      <c r="B186" s="2"/>
      <c r="C186" s="2"/>
      <c r="D186" s="2"/>
      <c r="E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2"/>
      <c r="B187" s="2"/>
      <c r="C187" s="2"/>
      <c r="D187" s="2"/>
      <c r="E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2"/>
      <c r="B188" s="2"/>
      <c r="C188" s="2"/>
      <c r="D188" s="2"/>
      <c r="E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2"/>
      <c r="B189" s="2"/>
      <c r="C189" s="2"/>
      <c r="D189" s="2"/>
      <c r="E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2"/>
      <c r="B190" s="2"/>
      <c r="C190" s="2"/>
      <c r="D190" s="2"/>
      <c r="E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2"/>
      <c r="B191" s="2"/>
      <c r="C191" s="2"/>
      <c r="D191" s="2"/>
      <c r="E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2"/>
      <c r="B192" s="2"/>
      <c r="C192" s="2"/>
      <c r="D192" s="2"/>
      <c r="E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2"/>
      <c r="B193" s="2"/>
      <c r="C193" s="2"/>
      <c r="D193" s="2"/>
      <c r="E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2"/>
      <c r="B194" s="2"/>
      <c r="C194" s="2"/>
      <c r="D194" s="2"/>
      <c r="E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2"/>
      <c r="B195" s="2"/>
      <c r="C195" s="2"/>
      <c r="D195" s="2"/>
      <c r="E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2"/>
      <c r="B196" s="2"/>
      <c r="C196" s="2"/>
      <c r="D196" s="2"/>
      <c r="E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2"/>
      <c r="B197" s="2"/>
      <c r="C197" s="2"/>
      <c r="D197" s="2"/>
      <c r="E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2"/>
      <c r="B198" s="2"/>
      <c r="C198" s="2"/>
      <c r="D198" s="2"/>
      <c r="E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2"/>
      <c r="B199" s="2"/>
      <c r="C199" s="2"/>
      <c r="D199" s="2"/>
      <c r="E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2"/>
      <c r="B200" s="2"/>
      <c r="C200" s="2"/>
      <c r="D200" s="2"/>
      <c r="E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2"/>
      <c r="B201" s="2"/>
      <c r="C201" s="2"/>
      <c r="D201" s="2"/>
      <c r="E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2"/>
      <c r="B202" s="2"/>
      <c r="C202" s="2"/>
      <c r="D202" s="2"/>
      <c r="E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2"/>
      <c r="B203" s="2"/>
      <c r="C203" s="2"/>
      <c r="D203" s="2"/>
      <c r="E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2"/>
      <c r="B204" s="2"/>
      <c r="C204" s="2"/>
      <c r="D204" s="2"/>
      <c r="E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2"/>
      <c r="B205" s="2"/>
      <c r="C205" s="2"/>
      <c r="D205" s="2"/>
      <c r="E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2"/>
      <c r="B206" s="2"/>
      <c r="C206" s="2"/>
      <c r="D206" s="2"/>
      <c r="E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2"/>
      <c r="B207" s="2"/>
      <c r="C207" s="2"/>
      <c r="D207" s="2"/>
      <c r="E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2"/>
      <c r="B208" s="2"/>
      <c r="C208" s="2"/>
      <c r="D208" s="2"/>
      <c r="E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2"/>
      <c r="B209" s="2"/>
      <c r="C209" s="2"/>
      <c r="D209" s="2"/>
      <c r="E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2"/>
      <c r="B210" s="2"/>
      <c r="C210" s="2"/>
      <c r="D210" s="2"/>
      <c r="E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2"/>
      <c r="B211" s="2"/>
      <c r="C211" s="2"/>
      <c r="D211" s="2"/>
      <c r="E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2"/>
      <c r="B212" s="2"/>
      <c r="C212" s="2"/>
      <c r="D212" s="2"/>
      <c r="E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2"/>
      <c r="B213" s="2"/>
      <c r="C213" s="2"/>
      <c r="D213" s="2"/>
      <c r="E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2"/>
      <c r="B214" s="2"/>
      <c r="C214" s="2"/>
      <c r="D214" s="2"/>
      <c r="E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2"/>
      <c r="B215" s="2"/>
      <c r="C215" s="2"/>
      <c r="D215" s="2"/>
      <c r="E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2"/>
      <c r="B216" s="2"/>
      <c r="C216" s="2"/>
      <c r="D216" s="2"/>
      <c r="E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2"/>
      <c r="B217" s="2"/>
      <c r="C217" s="2"/>
      <c r="D217" s="2"/>
      <c r="E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2"/>
      <c r="B218" s="2"/>
      <c r="C218" s="2"/>
      <c r="D218" s="2"/>
      <c r="E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2"/>
      <c r="B219" s="2"/>
      <c r="C219" s="2"/>
      <c r="D219" s="2"/>
      <c r="E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2"/>
      <c r="B220" s="2"/>
      <c r="C220" s="2"/>
      <c r="D220" s="2"/>
      <c r="E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2"/>
      <c r="B221" s="2"/>
      <c r="C221" s="2"/>
      <c r="D221" s="2"/>
      <c r="E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2"/>
      <c r="B222" s="2"/>
      <c r="C222" s="2"/>
      <c r="D222" s="2"/>
      <c r="E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2"/>
      <c r="B223" s="2"/>
      <c r="C223" s="2"/>
      <c r="D223" s="2"/>
      <c r="E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2"/>
      <c r="B224" s="2"/>
      <c r="C224" s="2"/>
      <c r="D224" s="2"/>
      <c r="E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2"/>
      <c r="B225" s="2"/>
      <c r="C225" s="2"/>
      <c r="D225" s="2"/>
      <c r="E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2"/>
      <c r="B226" s="2"/>
      <c r="C226" s="2"/>
      <c r="D226" s="2"/>
      <c r="E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2"/>
      <c r="B227" s="2"/>
      <c r="C227" s="2"/>
      <c r="D227" s="2"/>
      <c r="E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2"/>
      <c r="B228" s="2"/>
      <c r="C228" s="2"/>
      <c r="D228" s="2"/>
      <c r="E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2"/>
      <c r="B229" s="2"/>
      <c r="C229" s="2"/>
      <c r="D229" s="2"/>
      <c r="E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2"/>
      <c r="B230" s="2"/>
      <c r="C230" s="2"/>
      <c r="D230" s="2"/>
      <c r="E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2"/>
      <c r="B231" s="2"/>
      <c r="C231" s="2"/>
      <c r="D231" s="2"/>
      <c r="E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2"/>
      <c r="B232" s="2"/>
      <c r="C232" s="2"/>
      <c r="D232" s="2"/>
      <c r="E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2"/>
      <c r="B233" s="2"/>
      <c r="C233" s="2"/>
      <c r="D233" s="2"/>
      <c r="E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2"/>
      <c r="B234" s="2"/>
      <c r="C234" s="2"/>
      <c r="D234" s="2"/>
      <c r="E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2"/>
      <c r="B235" s="2"/>
      <c r="C235" s="2"/>
      <c r="D235" s="2"/>
      <c r="E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2"/>
      <c r="B236" s="2"/>
      <c r="C236" s="2"/>
      <c r="D236" s="2"/>
      <c r="E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2"/>
      <c r="B237" s="2"/>
      <c r="C237" s="2"/>
      <c r="D237" s="2"/>
      <c r="E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2"/>
      <c r="B238" s="2"/>
      <c r="C238" s="2"/>
      <c r="D238" s="2"/>
      <c r="E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2"/>
      <c r="B239" s="2"/>
      <c r="C239" s="2"/>
      <c r="D239" s="2"/>
      <c r="E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2"/>
      <c r="B240" s="2"/>
      <c r="C240" s="2"/>
      <c r="D240" s="2"/>
      <c r="E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2"/>
      <c r="B241" s="2"/>
      <c r="C241" s="2"/>
      <c r="D241" s="2"/>
      <c r="E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2"/>
      <c r="B242" s="2"/>
      <c r="C242" s="2"/>
      <c r="D242" s="2"/>
      <c r="E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2"/>
      <c r="B243" s="2"/>
      <c r="C243" s="2"/>
      <c r="D243" s="2"/>
      <c r="E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2"/>
      <c r="B244" s="2"/>
      <c r="C244" s="2"/>
      <c r="D244" s="2"/>
      <c r="E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2"/>
      <c r="B245" s="2"/>
      <c r="C245" s="2"/>
      <c r="D245" s="2"/>
      <c r="E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2"/>
      <c r="B246" s="2"/>
      <c r="C246" s="2"/>
      <c r="D246" s="2"/>
      <c r="E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2"/>
      <c r="B247" s="2"/>
      <c r="C247" s="2"/>
      <c r="D247" s="2"/>
      <c r="E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2"/>
      <c r="B248" s="2"/>
      <c r="C248" s="2"/>
      <c r="D248" s="2"/>
      <c r="E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2"/>
      <c r="B249" s="2"/>
      <c r="C249" s="2"/>
      <c r="D249" s="2"/>
      <c r="E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2"/>
      <c r="B250" s="2"/>
      <c r="C250" s="2"/>
      <c r="D250" s="2"/>
      <c r="E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2"/>
      <c r="B251" s="2"/>
      <c r="C251" s="2"/>
      <c r="D251" s="2"/>
      <c r="E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2"/>
      <c r="B252" s="2"/>
      <c r="C252" s="2"/>
      <c r="D252" s="2"/>
      <c r="E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2"/>
      <c r="B253" s="2"/>
      <c r="C253" s="2"/>
      <c r="D253" s="2"/>
      <c r="E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2"/>
      <c r="B254" s="2"/>
      <c r="C254" s="2"/>
      <c r="D254" s="2"/>
      <c r="E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2"/>
      <c r="B255" s="2"/>
      <c r="C255" s="2"/>
      <c r="D255" s="2"/>
      <c r="E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2"/>
      <c r="B256" s="2"/>
      <c r="C256" s="2"/>
      <c r="D256" s="2"/>
      <c r="E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2"/>
      <c r="B257" s="2"/>
      <c r="C257" s="2"/>
      <c r="D257" s="2"/>
      <c r="E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2"/>
      <c r="B258" s="2"/>
      <c r="C258" s="2"/>
      <c r="D258" s="2"/>
      <c r="E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2"/>
      <c r="B259" s="2"/>
      <c r="C259" s="2"/>
      <c r="D259" s="2"/>
      <c r="E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2"/>
      <c r="B260" s="2"/>
      <c r="C260" s="2"/>
      <c r="D260" s="2"/>
      <c r="E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2"/>
      <c r="B261" s="2"/>
      <c r="C261" s="2"/>
      <c r="D261" s="2"/>
      <c r="E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2"/>
      <c r="B262" s="2"/>
      <c r="C262" s="2"/>
      <c r="D262" s="2"/>
      <c r="E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2"/>
      <c r="B263" s="2"/>
      <c r="C263" s="2"/>
      <c r="D263" s="2"/>
      <c r="E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2"/>
      <c r="B264" s="2"/>
      <c r="C264" s="2"/>
      <c r="D264" s="2"/>
      <c r="E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2"/>
      <c r="B265" s="2"/>
      <c r="C265" s="2"/>
      <c r="D265" s="2"/>
      <c r="E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2"/>
      <c r="B266" s="2"/>
      <c r="C266" s="2"/>
      <c r="D266" s="2"/>
      <c r="E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2"/>
      <c r="B267" s="2"/>
      <c r="C267" s="2"/>
      <c r="D267" s="2"/>
      <c r="E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2"/>
      <c r="B268" s="2"/>
      <c r="C268" s="2"/>
      <c r="D268" s="2"/>
      <c r="E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2"/>
      <c r="B269" s="2"/>
      <c r="C269" s="2"/>
      <c r="D269" s="2"/>
      <c r="E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2"/>
      <c r="B270" s="2"/>
      <c r="C270" s="2"/>
      <c r="D270" s="2"/>
      <c r="E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2"/>
      <c r="B271" s="2"/>
      <c r="C271" s="2"/>
      <c r="D271" s="2"/>
      <c r="E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2"/>
      <c r="B272" s="2"/>
      <c r="C272" s="2"/>
      <c r="D272" s="2"/>
      <c r="E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2"/>
      <c r="B273" s="2"/>
      <c r="C273" s="2"/>
      <c r="D273" s="2"/>
      <c r="E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2"/>
      <c r="B274" s="2"/>
      <c r="C274" s="2"/>
      <c r="D274" s="2"/>
      <c r="E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2"/>
      <c r="B275" s="2"/>
      <c r="C275" s="2"/>
      <c r="D275" s="2"/>
      <c r="E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2"/>
      <c r="B276" s="2"/>
      <c r="C276" s="2"/>
      <c r="D276" s="2"/>
      <c r="E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2"/>
      <c r="B277" s="2"/>
      <c r="C277" s="2"/>
      <c r="D277" s="2"/>
      <c r="E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2"/>
      <c r="B278" s="2"/>
      <c r="C278" s="2"/>
      <c r="D278" s="2"/>
      <c r="E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2"/>
      <c r="B279" s="2"/>
      <c r="C279" s="2"/>
      <c r="D279" s="2"/>
      <c r="E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2"/>
      <c r="B280" s="2"/>
      <c r="C280" s="2"/>
      <c r="D280" s="2"/>
      <c r="E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2"/>
      <c r="B281" s="2"/>
      <c r="C281" s="2"/>
      <c r="D281" s="2"/>
      <c r="E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2"/>
      <c r="B282" s="2"/>
      <c r="C282" s="2"/>
      <c r="D282" s="2"/>
      <c r="E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2"/>
      <c r="B283" s="2"/>
      <c r="C283" s="2"/>
      <c r="D283" s="2"/>
      <c r="E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2"/>
      <c r="B284" s="2"/>
      <c r="C284" s="2"/>
      <c r="D284" s="2"/>
      <c r="E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2"/>
      <c r="B285" s="2"/>
      <c r="C285" s="2"/>
      <c r="D285" s="2"/>
      <c r="E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2"/>
      <c r="B286" s="2"/>
      <c r="C286" s="2"/>
      <c r="D286" s="2"/>
      <c r="E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2"/>
      <c r="B287" s="2"/>
      <c r="C287" s="2"/>
      <c r="D287" s="2"/>
      <c r="E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2"/>
      <c r="B288" s="2"/>
      <c r="C288" s="2"/>
      <c r="D288" s="2"/>
      <c r="E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2"/>
      <c r="B289" s="2"/>
      <c r="C289" s="2"/>
      <c r="D289" s="2"/>
      <c r="E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2"/>
      <c r="B290" s="2"/>
      <c r="C290" s="2"/>
      <c r="D290" s="2"/>
      <c r="E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2"/>
      <c r="B291" s="2"/>
      <c r="C291" s="2"/>
      <c r="D291" s="2"/>
      <c r="E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2"/>
      <c r="B292" s="2"/>
      <c r="C292" s="2"/>
      <c r="D292" s="2"/>
      <c r="E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2"/>
      <c r="B293" s="2"/>
      <c r="C293" s="2"/>
      <c r="D293" s="2"/>
      <c r="E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2"/>
      <c r="B294" s="2"/>
      <c r="C294" s="2"/>
      <c r="D294" s="2"/>
      <c r="E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2"/>
      <c r="B295" s="2"/>
      <c r="C295" s="2"/>
      <c r="D295" s="2"/>
      <c r="E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2"/>
      <c r="B296" s="2"/>
      <c r="C296" s="2"/>
      <c r="D296" s="2"/>
      <c r="E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2"/>
      <c r="B297" s="2"/>
      <c r="C297" s="2"/>
      <c r="D297" s="2"/>
      <c r="E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2"/>
      <c r="B298" s="2"/>
      <c r="C298" s="2"/>
      <c r="D298" s="2"/>
      <c r="E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2"/>
      <c r="B299" s="2"/>
      <c r="C299" s="2"/>
      <c r="D299" s="2"/>
      <c r="E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2"/>
      <c r="B300" s="2"/>
      <c r="C300" s="2"/>
      <c r="D300" s="2"/>
      <c r="E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2"/>
      <c r="B301" s="2"/>
      <c r="C301" s="2"/>
      <c r="D301" s="2"/>
      <c r="E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2"/>
      <c r="B302" s="2"/>
      <c r="C302" s="2"/>
      <c r="D302" s="2"/>
      <c r="E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2"/>
      <c r="B303" s="2"/>
      <c r="C303" s="2"/>
      <c r="D303" s="2"/>
      <c r="E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2"/>
      <c r="B304" s="2"/>
      <c r="C304" s="2"/>
      <c r="D304" s="2"/>
      <c r="E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2"/>
      <c r="B305" s="2"/>
      <c r="C305" s="2"/>
      <c r="D305" s="2"/>
      <c r="E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2"/>
      <c r="B306" s="2"/>
      <c r="C306" s="2"/>
      <c r="D306" s="2"/>
      <c r="E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2"/>
      <c r="B307" s="2"/>
      <c r="C307" s="2"/>
      <c r="D307" s="2"/>
      <c r="E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2"/>
      <c r="B308" s="2"/>
      <c r="C308" s="2"/>
      <c r="D308" s="2"/>
      <c r="E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2"/>
      <c r="B309" s="2"/>
      <c r="C309" s="2"/>
      <c r="D309" s="2"/>
      <c r="E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2"/>
      <c r="B310" s="2"/>
      <c r="C310" s="2"/>
      <c r="D310" s="2"/>
      <c r="E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2"/>
      <c r="B311" s="2"/>
      <c r="C311" s="2"/>
      <c r="D311" s="2"/>
      <c r="E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2"/>
      <c r="B312" s="2"/>
      <c r="C312" s="2"/>
      <c r="D312" s="2"/>
      <c r="E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2"/>
      <c r="B313" s="2"/>
      <c r="C313" s="2"/>
      <c r="D313" s="2"/>
      <c r="E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2"/>
      <c r="B314" s="2"/>
      <c r="C314" s="2"/>
      <c r="D314" s="2"/>
      <c r="E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2"/>
      <c r="B315" s="2"/>
      <c r="C315" s="2"/>
      <c r="D315" s="2"/>
      <c r="E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2"/>
      <c r="B316" s="2"/>
      <c r="C316" s="2"/>
      <c r="D316" s="2"/>
      <c r="E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2"/>
      <c r="B317" s="2"/>
      <c r="C317" s="2"/>
      <c r="D317" s="2"/>
      <c r="E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2"/>
      <c r="B318" s="2"/>
      <c r="C318" s="2"/>
      <c r="D318" s="2"/>
      <c r="E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2"/>
      <c r="B319" s="2"/>
      <c r="C319" s="2"/>
      <c r="D319" s="2"/>
      <c r="E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2"/>
      <c r="B320" s="2"/>
      <c r="C320" s="2"/>
      <c r="D320" s="2"/>
      <c r="E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2"/>
      <c r="B321" s="2"/>
      <c r="C321" s="2"/>
      <c r="D321" s="2"/>
      <c r="E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2"/>
      <c r="B322" s="2"/>
      <c r="C322" s="2"/>
      <c r="D322" s="2"/>
      <c r="E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2"/>
      <c r="B323" s="2"/>
      <c r="C323" s="2"/>
      <c r="D323" s="2"/>
      <c r="E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2"/>
      <c r="B324" s="2"/>
      <c r="C324" s="2"/>
      <c r="D324" s="2"/>
      <c r="E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2"/>
      <c r="B325" s="2"/>
      <c r="C325" s="2"/>
      <c r="D325" s="2"/>
      <c r="E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2"/>
      <c r="B326" s="2"/>
      <c r="C326" s="2"/>
      <c r="D326" s="2"/>
      <c r="E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2"/>
      <c r="B327" s="2"/>
      <c r="C327" s="2"/>
      <c r="D327" s="2"/>
      <c r="E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2"/>
      <c r="B328" s="2"/>
      <c r="C328" s="2"/>
      <c r="D328" s="2"/>
      <c r="E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2"/>
      <c r="B329" s="2"/>
      <c r="C329" s="2"/>
      <c r="D329" s="2"/>
      <c r="E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2"/>
      <c r="B330" s="2"/>
      <c r="C330" s="2"/>
      <c r="D330" s="2"/>
      <c r="E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2"/>
      <c r="B331" s="2"/>
      <c r="C331" s="2"/>
      <c r="D331" s="2"/>
      <c r="E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2"/>
      <c r="B332" s="2"/>
      <c r="C332" s="2"/>
      <c r="D332" s="2"/>
      <c r="E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2"/>
      <c r="B333" s="2"/>
      <c r="C333" s="2"/>
      <c r="D333" s="2"/>
      <c r="E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2"/>
      <c r="B334" s="2"/>
      <c r="C334" s="2"/>
      <c r="D334" s="2"/>
      <c r="E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2"/>
      <c r="B335" s="2"/>
      <c r="C335" s="2"/>
      <c r="D335" s="2"/>
      <c r="E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2"/>
      <c r="B336" s="2"/>
      <c r="C336" s="2"/>
      <c r="D336" s="2"/>
      <c r="E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2"/>
      <c r="B337" s="2"/>
      <c r="C337" s="2"/>
      <c r="D337" s="2"/>
      <c r="E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2"/>
      <c r="B338" s="2"/>
      <c r="C338" s="2"/>
      <c r="D338" s="2"/>
      <c r="E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2"/>
      <c r="B339" s="2"/>
      <c r="C339" s="2"/>
      <c r="D339" s="2"/>
      <c r="E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2"/>
      <c r="B340" s="2"/>
      <c r="C340" s="2"/>
      <c r="D340" s="2"/>
      <c r="E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2"/>
      <c r="B341" s="2"/>
      <c r="C341" s="2"/>
      <c r="D341" s="2"/>
      <c r="E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2"/>
      <c r="B342" s="2"/>
      <c r="C342" s="2"/>
      <c r="D342" s="2"/>
      <c r="E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2"/>
      <c r="B343" s="2"/>
      <c r="C343" s="2"/>
      <c r="D343" s="2"/>
      <c r="E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2"/>
      <c r="B344" s="2"/>
      <c r="C344" s="2"/>
      <c r="D344" s="2"/>
      <c r="E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2"/>
      <c r="B345" s="2"/>
      <c r="C345" s="2"/>
      <c r="D345" s="2"/>
      <c r="E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2"/>
      <c r="B346" s="2"/>
      <c r="C346" s="2"/>
      <c r="D346" s="2"/>
      <c r="E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2"/>
      <c r="B347" s="2"/>
      <c r="C347" s="2"/>
      <c r="D347" s="2"/>
      <c r="E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2"/>
      <c r="B348" s="2"/>
      <c r="C348" s="2"/>
      <c r="D348" s="2"/>
      <c r="E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2"/>
      <c r="B349" s="2"/>
      <c r="C349" s="2"/>
      <c r="D349" s="2"/>
      <c r="E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2"/>
      <c r="B350" s="2"/>
      <c r="C350" s="2"/>
      <c r="D350" s="2"/>
      <c r="E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2"/>
      <c r="B351" s="2"/>
      <c r="C351" s="2"/>
      <c r="D351" s="2"/>
      <c r="E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2"/>
      <c r="B352" s="2"/>
      <c r="C352" s="2"/>
      <c r="D352" s="2"/>
      <c r="E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3.63"/>
    <col customWidth="1" min="2" max="2" width="9.13"/>
    <col customWidth="1" min="3" max="3" width="32.63"/>
    <col customWidth="1" min="4" max="4" width="8.63" outlineLevel="1"/>
    <col customWidth="1" min="5" max="5" width="8.63"/>
    <col customWidth="1" min="6" max="6" width="8.13"/>
    <col customWidth="1" min="7" max="7" width="1.5"/>
    <col customWidth="1" min="8" max="8" width="8.63"/>
    <col customWidth="1" min="9" max="9" width="8.63" outlineLevel="1"/>
    <col customWidth="1" min="10" max="10" width="1.5"/>
    <col customWidth="1" min="11" max="12" width="9.13"/>
    <col customWidth="1" min="13" max="13" width="8.63" outlineLevel="1"/>
    <col customWidth="1" min="14" max="14" width="1.5"/>
    <col customWidth="1" min="15" max="15" width="8.63"/>
    <col customWidth="1" min="16" max="16" width="9.13"/>
    <col customWidth="1" min="17" max="17" width="8.63" outlineLevel="1"/>
    <col customWidth="1" min="18" max="18" width="5.5"/>
    <col customWidth="1" min="19" max="19" width="1.63"/>
    <col customWidth="1" min="20" max="26" width="8.63"/>
  </cols>
  <sheetData>
    <row r="1" ht="6.75" customHeight="1">
      <c r="A1" s="36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152">
        <f t="shared" ref="L2:M2" si="1">SUM(L8:L26)</f>
        <v>58580</v>
      </c>
      <c r="M2" s="152">
        <f t="shared" si="1"/>
        <v>-286739.1575</v>
      </c>
      <c r="N2" s="37"/>
      <c r="O2" s="37"/>
      <c r="P2" s="152">
        <f t="shared" ref="P2:Q2" si="2">SUM(P8:P26)</f>
        <v>702960</v>
      </c>
      <c r="Q2" s="152">
        <f t="shared" si="2"/>
        <v>-2293913.26</v>
      </c>
      <c r="R2" s="37"/>
      <c r="S2" s="37"/>
      <c r="T2" s="37"/>
      <c r="U2" s="37"/>
      <c r="V2" s="37"/>
      <c r="W2" s="37"/>
      <c r="X2" s="37"/>
      <c r="Y2" s="37"/>
      <c r="Z2" s="37"/>
    </row>
    <row r="3" ht="5.25" customHeight="1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5.2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5.25" customHeight="1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36"/>
      <c r="B6" s="37"/>
      <c r="C6" s="37"/>
      <c r="D6" s="37"/>
      <c r="E6" s="37"/>
      <c r="F6" s="37"/>
      <c r="G6" s="37"/>
      <c r="H6" s="37"/>
      <c r="I6" s="37"/>
      <c r="J6" s="37"/>
      <c r="K6" s="153" t="s">
        <v>750</v>
      </c>
      <c r="L6" s="154"/>
      <c r="M6" s="155"/>
      <c r="N6" s="37"/>
      <c r="O6" s="153" t="s">
        <v>751</v>
      </c>
      <c r="P6" s="154"/>
      <c r="Q6" s="154"/>
      <c r="R6" s="155"/>
      <c r="S6" s="37"/>
      <c r="T6" s="37"/>
      <c r="U6" s="37"/>
      <c r="V6" s="37"/>
      <c r="W6" s="37"/>
      <c r="X6" s="37"/>
      <c r="Y6" s="37"/>
      <c r="Z6" s="37"/>
    </row>
    <row r="7" ht="12.75" customHeight="1">
      <c r="A7" s="156"/>
      <c r="B7" s="157" t="s">
        <v>560</v>
      </c>
      <c r="C7" s="157" t="s">
        <v>356</v>
      </c>
      <c r="D7" s="157" t="s">
        <v>359</v>
      </c>
      <c r="E7" s="157" t="s">
        <v>752</v>
      </c>
      <c r="F7" s="157" t="s">
        <v>753</v>
      </c>
      <c r="G7" s="158"/>
      <c r="H7" s="157" t="s">
        <v>754</v>
      </c>
      <c r="I7" s="157" t="s">
        <v>755</v>
      </c>
      <c r="J7" s="158"/>
      <c r="K7" s="159" t="s">
        <v>386</v>
      </c>
      <c r="L7" s="159" t="s">
        <v>756</v>
      </c>
      <c r="M7" s="159" t="s">
        <v>11</v>
      </c>
      <c r="N7" s="158"/>
      <c r="O7" s="159" t="s">
        <v>386</v>
      </c>
      <c r="P7" s="159" t="s">
        <v>756</v>
      </c>
      <c r="Q7" s="159" t="s">
        <v>11</v>
      </c>
      <c r="R7" s="159" t="s">
        <v>757</v>
      </c>
      <c r="S7" s="158"/>
      <c r="T7" s="158"/>
      <c r="U7" s="158"/>
      <c r="V7" s="158"/>
      <c r="W7" s="158"/>
      <c r="X7" s="158"/>
      <c r="Y7" s="158"/>
      <c r="Z7" s="158"/>
    </row>
    <row r="8" ht="12.75" customHeight="1">
      <c r="A8" s="39"/>
      <c r="B8" s="40">
        <v>1.0</v>
      </c>
      <c r="C8" s="40" t="s">
        <v>758</v>
      </c>
      <c r="D8" s="47">
        <f>'Costo x Articulo'!G3</f>
        <v>5558.066667</v>
      </c>
      <c r="E8" s="47">
        <v>12000.0</v>
      </c>
      <c r="F8" s="49">
        <f t="shared" ref="F8:F26" si="5">IFERROR((E8-D8)/D8,0)</f>
        <v>1.159024121</v>
      </c>
      <c r="G8" s="37"/>
      <c r="H8" s="47">
        <v>1000.0</v>
      </c>
      <c r="I8" s="49">
        <f t="shared" ref="I8:I26" si="6">IFERROR((H8-D8)/D8,0)</f>
        <v>-0.8200813232</v>
      </c>
      <c r="J8" s="160"/>
      <c r="K8" s="42">
        <v>3.0</v>
      </c>
      <c r="L8" s="42">
        <f>H8*K8</f>
        <v>3000</v>
      </c>
      <c r="M8" s="42">
        <f t="shared" ref="M8:M25" si="7">K8*(H8-D8)</f>
        <v>-13674.2</v>
      </c>
      <c r="N8" s="161"/>
      <c r="O8" s="47">
        <f t="shared" ref="O8:P8" si="3">K8*12</f>
        <v>36</v>
      </c>
      <c r="P8" s="47">
        <f t="shared" si="3"/>
        <v>36000</v>
      </c>
      <c r="Q8" s="47">
        <f t="shared" ref="Q8:Q26" si="9">M8*8</f>
        <v>-109393.6</v>
      </c>
      <c r="R8" s="49">
        <f t="shared" ref="R8:R24" si="10">Q8/$Q$2</f>
        <v>0.04768863841</v>
      </c>
      <c r="S8" s="37"/>
      <c r="T8" s="161">
        <f t="shared" ref="T8:T18" si="11">H8*1.1</f>
        <v>1100</v>
      </c>
      <c r="U8" s="161"/>
      <c r="V8" s="161"/>
      <c r="W8" s="37"/>
      <c r="X8" s="37"/>
      <c r="Y8" s="37"/>
      <c r="Z8" s="37"/>
    </row>
    <row r="9" ht="12.75" customHeight="1">
      <c r="A9" s="39"/>
      <c r="B9" s="45">
        <v>2.0</v>
      </c>
      <c r="C9" s="45" t="s">
        <v>759</v>
      </c>
      <c r="D9" s="47">
        <f t="shared" ref="D9:E9" si="4">D8</f>
        <v>5558.066667</v>
      </c>
      <c r="E9" s="47">
        <f t="shared" si="4"/>
        <v>12000</v>
      </c>
      <c r="F9" s="49">
        <f t="shared" si="5"/>
        <v>1.159024121</v>
      </c>
      <c r="G9" s="37"/>
      <c r="H9" s="47">
        <f t="shared" ref="H9:H11" si="13">H8</f>
        <v>1000</v>
      </c>
      <c r="I9" s="49">
        <f t="shared" si="6"/>
        <v>-0.8200813232</v>
      </c>
      <c r="J9" s="160"/>
      <c r="K9" s="47">
        <v>3.0</v>
      </c>
      <c r="L9" s="47">
        <f t="shared" ref="L9:L10" si="14">L8</f>
        <v>3000</v>
      </c>
      <c r="M9" s="47">
        <f t="shared" si="7"/>
        <v>-13674.2</v>
      </c>
      <c r="N9" s="161"/>
      <c r="O9" s="47">
        <f t="shared" ref="O9:P9" si="8">K9*12</f>
        <v>36</v>
      </c>
      <c r="P9" s="47">
        <f t="shared" si="8"/>
        <v>36000</v>
      </c>
      <c r="Q9" s="47">
        <f t="shared" si="9"/>
        <v>-109393.6</v>
      </c>
      <c r="R9" s="49">
        <f t="shared" si="10"/>
        <v>0.04768863841</v>
      </c>
      <c r="S9" s="37"/>
      <c r="T9" s="161">
        <f t="shared" si="11"/>
        <v>1100</v>
      </c>
      <c r="U9" s="161"/>
      <c r="V9" s="161"/>
      <c r="W9" s="37"/>
      <c r="X9" s="37"/>
      <c r="Y9" s="37"/>
      <c r="Z9" s="37"/>
    </row>
    <row r="10" ht="12.75" customHeight="1">
      <c r="A10" s="39"/>
      <c r="B10" s="45">
        <v>3.0</v>
      </c>
      <c r="C10" s="45" t="s">
        <v>760</v>
      </c>
      <c r="D10" s="47">
        <f t="shared" ref="D10:E10" si="12">D9</f>
        <v>5558.066667</v>
      </c>
      <c r="E10" s="47">
        <f t="shared" si="12"/>
        <v>12000</v>
      </c>
      <c r="F10" s="49">
        <f t="shared" si="5"/>
        <v>1.159024121</v>
      </c>
      <c r="G10" s="37"/>
      <c r="H10" s="47">
        <f t="shared" si="13"/>
        <v>1000</v>
      </c>
      <c r="I10" s="49">
        <f t="shared" si="6"/>
        <v>-0.8200813232</v>
      </c>
      <c r="J10" s="160"/>
      <c r="K10" s="47">
        <v>3.0</v>
      </c>
      <c r="L10" s="47">
        <f t="shared" si="14"/>
        <v>3000</v>
      </c>
      <c r="M10" s="47">
        <f t="shared" si="7"/>
        <v>-13674.2</v>
      </c>
      <c r="N10" s="161"/>
      <c r="O10" s="47">
        <f t="shared" ref="O10:P10" si="15">K10*12</f>
        <v>36</v>
      </c>
      <c r="P10" s="47">
        <f t="shared" si="15"/>
        <v>36000</v>
      </c>
      <c r="Q10" s="47">
        <f t="shared" si="9"/>
        <v>-109393.6</v>
      </c>
      <c r="R10" s="49">
        <f t="shared" si="10"/>
        <v>0.04768863841</v>
      </c>
      <c r="S10" s="37"/>
      <c r="T10" s="161">
        <f t="shared" si="11"/>
        <v>1100</v>
      </c>
      <c r="U10" s="161"/>
      <c r="V10" s="161"/>
      <c r="W10" s="37"/>
      <c r="X10" s="37"/>
      <c r="Y10" s="37"/>
      <c r="Z10" s="37"/>
    </row>
    <row r="11" ht="12.75" customHeight="1">
      <c r="A11" s="39"/>
      <c r="B11" s="45">
        <v>4.0</v>
      </c>
      <c r="C11" s="45" t="s">
        <v>761</v>
      </c>
      <c r="D11" s="47">
        <f>'Costo x Articulo'!G126</f>
        <v>6604.733333</v>
      </c>
      <c r="E11" s="47">
        <v>15000.0</v>
      </c>
      <c r="F11" s="49">
        <f t="shared" si="5"/>
        <v>1.271098505</v>
      </c>
      <c r="G11" s="37"/>
      <c r="H11" s="47">
        <f t="shared" si="13"/>
        <v>1000</v>
      </c>
      <c r="I11" s="49">
        <f t="shared" si="6"/>
        <v>-0.848593433</v>
      </c>
      <c r="J11" s="160"/>
      <c r="K11" s="47">
        <f t="shared" ref="K11:L11" si="16">K10</f>
        <v>3</v>
      </c>
      <c r="L11" s="47">
        <f t="shared" si="16"/>
        <v>3000</v>
      </c>
      <c r="M11" s="47">
        <f t="shared" si="7"/>
        <v>-16814.2</v>
      </c>
      <c r="N11" s="161"/>
      <c r="O11" s="47">
        <f t="shared" ref="O11:P11" si="17">K11*12</f>
        <v>36</v>
      </c>
      <c r="P11" s="47">
        <f t="shared" si="17"/>
        <v>36000</v>
      </c>
      <c r="Q11" s="47">
        <f t="shared" si="9"/>
        <v>-134513.6</v>
      </c>
      <c r="R11" s="49">
        <f t="shared" si="10"/>
        <v>0.05863935762</v>
      </c>
      <c r="S11" s="37"/>
      <c r="T11" s="161">
        <f t="shared" si="11"/>
        <v>1100</v>
      </c>
      <c r="U11" s="161"/>
      <c r="V11" s="161"/>
      <c r="W11" s="37"/>
      <c r="X11" s="37"/>
      <c r="Y11" s="37"/>
      <c r="Z11" s="37"/>
    </row>
    <row r="12" ht="12.75" customHeight="1">
      <c r="A12" s="37"/>
      <c r="B12" s="45">
        <v>5.0</v>
      </c>
      <c r="C12" s="45" t="s">
        <v>762</v>
      </c>
      <c r="D12" s="162">
        <f>'Costo x Articulo'!G5/6</f>
        <v>1520.588889</v>
      </c>
      <c r="E12" s="47">
        <v>3000.0</v>
      </c>
      <c r="F12" s="49">
        <f t="shared" si="5"/>
        <v>0.9729198483</v>
      </c>
      <c r="G12" s="37"/>
      <c r="H12" s="47">
        <v>350.0</v>
      </c>
      <c r="I12" s="49">
        <f t="shared" si="6"/>
        <v>-0.7698260177</v>
      </c>
      <c r="J12" s="37"/>
      <c r="K12" s="47">
        <v>12.0</v>
      </c>
      <c r="L12" s="47">
        <f t="shared" ref="L12:L25" si="19">H12*K12</f>
        <v>4200</v>
      </c>
      <c r="M12" s="47">
        <f t="shared" si="7"/>
        <v>-14047.06667</v>
      </c>
      <c r="N12" s="161"/>
      <c r="O12" s="47">
        <f t="shared" ref="O12:P12" si="18">K12*12</f>
        <v>144</v>
      </c>
      <c r="P12" s="47">
        <f t="shared" si="18"/>
        <v>50400</v>
      </c>
      <c r="Q12" s="47">
        <f t="shared" si="9"/>
        <v>-112376.5333</v>
      </c>
      <c r="R12" s="49">
        <f t="shared" si="10"/>
        <v>0.04898900725</v>
      </c>
      <c r="S12" s="37"/>
      <c r="T12" s="161">
        <f t="shared" si="11"/>
        <v>385</v>
      </c>
      <c r="U12" s="161"/>
      <c r="V12" s="161"/>
      <c r="W12" s="37"/>
      <c r="X12" s="37"/>
      <c r="Y12" s="37"/>
      <c r="Z12" s="37"/>
    </row>
    <row r="13" ht="12.75" customHeight="1">
      <c r="A13" s="37"/>
      <c r="B13" s="45">
        <v>6.0</v>
      </c>
      <c r="C13" s="45" t="s">
        <v>763</v>
      </c>
      <c r="D13" s="162">
        <f>'Costo x Articulo'!G55/6</f>
        <v>2428.887963</v>
      </c>
      <c r="E13" s="47">
        <v>4500.0</v>
      </c>
      <c r="F13" s="49">
        <f t="shared" si="5"/>
        <v>0.8526996999</v>
      </c>
      <c r="G13" s="37"/>
      <c r="H13" s="47">
        <f t="shared" ref="H13:H17" si="21">H12</f>
        <v>350</v>
      </c>
      <c r="I13" s="49">
        <f t="shared" si="6"/>
        <v>-0.8559011345</v>
      </c>
      <c r="J13" s="37"/>
      <c r="K13" s="47">
        <v>24.0</v>
      </c>
      <c r="L13" s="47">
        <f t="shared" si="19"/>
        <v>8400</v>
      </c>
      <c r="M13" s="47">
        <f t="shared" si="7"/>
        <v>-49893.31111</v>
      </c>
      <c r="N13" s="161"/>
      <c r="O13" s="47">
        <f t="shared" ref="O13:P13" si="20">K13*12</f>
        <v>288</v>
      </c>
      <c r="P13" s="47">
        <f t="shared" si="20"/>
        <v>100800</v>
      </c>
      <c r="Q13" s="47">
        <f t="shared" si="9"/>
        <v>-399146.4889</v>
      </c>
      <c r="R13" s="49">
        <f t="shared" si="10"/>
        <v>0.1740024332</v>
      </c>
      <c r="S13" s="37"/>
      <c r="T13" s="161">
        <f t="shared" si="11"/>
        <v>385</v>
      </c>
      <c r="U13" s="161"/>
      <c r="V13" s="161"/>
      <c r="W13" s="37"/>
      <c r="X13" s="37"/>
      <c r="Y13" s="37"/>
      <c r="Z13" s="37"/>
    </row>
    <row r="14" ht="12.75" customHeight="1">
      <c r="A14" s="37"/>
      <c r="B14" s="45">
        <v>7.0</v>
      </c>
      <c r="C14" s="45" t="s">
        <v>764</v>
      </c>
      <c r="D14" s="162">
        <f>'Costo x Articulo'!G127/6</f>
        <v>2817.261905</v>
      </c>
      <c r="E14" s="47">
        <v>5000.0</v>
      </c>
      <c r="F14" s="49">
        <f t="shared" si="5"/>
        <v>0.7747728713</v>
      </c>
      <c r="G14" s="37"/>
      <c r="H14" s="47">
        <f t="shared" si="21"/>
        <v>350</v>
      </c>
      <c r="I14" s="49">
        <f t="shared" si="6"/>
        <v>-0.875765899</v>
      </c>
      <c r="J14" s="37"/>
      <c r="K14" s="47">
        <v>24.0</v>
      </c>
      <c r="L14" s="47">
        <f t="shared" si="19"/>
        <v>8400</v>
      </c>
      <c r="M14" s="47">
        <f t="shared" si="7"/>
        <v>-59214.28571</v>
      </c>
      <c r="N14" s="161"/>
      <c r="O14" s="47">
        <f t="shared" ref="O14:P14" si="22">K14*12</f>
        <v>288</v>
      </c>
      <c r="P14" s="47">
        <f t="shared" si="22"/>
        <v>100800</v>
      </c>
      <c r="Q14" s="47">
        <f t="shared" si="9"/>
        <v>-473714.2857</v>
      </c>
      <c r="R14" s="49">
        <f t="shared" si="10"/>
        <v>0.2065092408</v>
      </c>
      <c r="S14" s="37"/>
      <c r="T14" s="161">
        <f t="shared" si="11"/>
        <v>385</v>
      </c>
      <c r="U14" s="161"/>
      <c r="V14" s="161"/>
      <c r="W14" s="37"/>
      <c r="X14" s="37"/>
      <c r="Y14" s="37"/>
      <c r="Z14" s="37"/>
    </row>
    <row r="15" ht="12.75" customHeight="1">
      <c r="A15" s="37"/>
      <c r="B15" s="45">
        <v>8.0</v>
      </c>
      <c r="C15" s="45" t="s">
        <v>765</v>
      </c>
      <c r="D15" s="162">
        <f>'Costo x Articulo'!G44/6</f>
        <v>2541.655307</v>
      </c>
      <c r="E15" s="47">
        <v>5000.0</v>
      </c>
      <c r="F15" s="49">
        <f t="shared" si="5"/>
        <v>0.9672219073</v>
      </c>
      <c r="G15" s="37"/>
      <c r="H15" s="47">
        <f t="shared" si="21"/>
        <v>350</v>
      </c>
      <c r="I15" s="49">
        <f t="shared" si="6"/>
        <v>-0.8622944665</v>
      </c>
      <c r="J15" s="37"/>
      <c r="K15" s="47">
        <v>24.0</v>
      </c>
      <c r="L15" s="47">
        <f t="shared" si="19"/>
        <v>8400</v>
      </c>
      <c r="M15" s="47">
        <f t="shared" si="7"/>
        <v>-52599.72736</v>
      </c>
      <c r="N15" s="161"/>
      <c r="O15" s="47">
        <f t="shared" ref="O15:P15" si="23">K15*12</f>
        <v>288</v>
      </c>
      <c r="P15" s="47">
        <f t="shared" si="23"/>
        <v>100800</v>
      </c>
      <c r="Q15" s="47">
        <f t="shared" si="9"/>
        <v>-420797.8189</v>
      </c>
      <c r="R15" s="49">
        <f t="shared" si="10"/>
        <v>0.1834410334</v>
      </c>
      <c r="S15" s="37"/>
      <c r="T15" s="161">
        <f t="shared" si="11"/>
        <v>385</v>
      </c>
      <c r="U15" s="161"/>
      <c r="V15" s="161"/>
      <c r="W15" s="37"/>
      <c r="X15" s="37"/>
      <c r="Y15" s="37"/>
      <c r="Z15" s="37"/>
    </row>
    <row r="16" ht="12.75" customHeight="1">
      <c r="A16" s="37"/>
      <c r="B16" s="45">
        <v>9.0</v>
      </c>
      <c r="C16" s="45" t="s">
        <v>766</v>
      </c>
      <c r="D16" s="162">
        <f>'Costo x Articulo'!G67/6</f>
        <v>2985.833333</v>
      </c>
      <c r="E16" s="47">
        <v>5000.0</v>
      </c>
      <c r="F16" s="49">
        <f t="shared" si="5"/>
        <v>0.674574379</v>
      </c>
      <c r="G16" s="37"/>
      <c r="H16" s="47">
        <f t="shared" si="21"/>
        <v>350</v>
      </c>
      <c r="I16" s="49">
        <f t="shared" si="6"/>
        <v>-0.8827797935</v>
      </c>
      <c r="J16" s="37"/>
      <c r="K16" s="47">
        <v>12.0</v>
      </c>
      <c r="L16" s="47">
        <f t="shared" si="19"/>
        <v>4200</v>
      </c>
      <c r="M16" s="47">
        <f t="shared" si="7"/>
        <v>-31630</v>
      </c>
      <c r="N16" s="161"/>
      <c r="O16" s="47">
        <f t="shared" ref="O16:P16" si="24">K16*12</f>
        <v>144</v>
      </c>
      <c r="P16" s="47">
        <f t="shared" si="24"/>
        <v>50400</v>
      </c>
      <c r="Q16" s="47">
        <f t="shared" si="9"/>
        <v>-253040</v>
      </c>
      <c r="R16" s="49">
        <f t="shared" si="10"/>
        <v>0.1103093148</v>
      </c>
      <c r="S16" s="37"/>
      <c r="T16" s="161">
        <f t="shared" si="11"/>
        <v>385</v>
      </c>
      <c r="U16" s="161"/>
      <c r="V16" s="161"/>
      <c r="W16" s="37"/>
      <c r="X16" s="37"/>
      <c r="Y16" s="37"/>
      <c r="Z16" s="37"/>
    </row>
    <row r="17" ht="12.75" customHeight="1">
      <c r="A17" s="37"/>
      <c r="B17" s="45">
        <v>10.0</v>
      </c>
      <c r="C17" s="45" t="s">
        <v>767</v>
      </c>
      <c r="D17" s="162">
        <f>'Costo x Articulo'!G25/6</f>
        <v>1117.686111</v>
      </c>
      <c r="E17" s="47">
        <v>2500.0</v>
      </c>
      <c r="F17" s="49">
        <f t="shared" si="5"/>
        <v>1.236763949</v>
      </c>
      <c r="G17" s="37"/>
      <c r="H17" s="47">
        <f t="shared" si="21"/>
        <v>350</v>
      </c>
      <c r="I17" s="49">
        <f t="shared" si="6"/>
        <v>-0.6868530471</v>
      </c>
      <c r="J17" s="37"/>
      <c r="K17" s="47">
        <v>24.0</v>
      </c>
      <c r="L17" s="47">
        <f t="shared" si="19"/>
        <v>8400</v>
      </c>
      <c r="M17" s="47">
        <f t="shared" si="7"/>
        <v>-18424.46667</v>
      </c>
      <c r="N17" s="161"/>
      <c r="O17" s="47">
        <f t="shared" ref="O17:P17" si="25">K17*12</f>
        <v>288</v>
      </c>
      <c r="P17" s="47">
        <f t="shared" si="25"/>
        <v>100800</v>
      </c>
      <c r="Q17" s="47">
        <f t="shared" si="9"/>
        <v>-147395.7333</v>
      </c>
      <c r="R17" s="49">
        <f t="shared" si="10"/>
        <v>0.06425514682</v>
      </c>
      <c r="S17" s="37"/>
      <c r="T17" s="161">
        <f t="shared" si="11"/>
        <v>385</v>
      </c>
      <c r="U17" s="161"/>
      <c r="V17" s="161"/>
      <c r="W17" s="37"/>
      <c r="X17" s="37"/>
      <c r="Y17" s="37"/>
      <c r="Z17" s="37"/>
    </row>
    <row r="18" ht="12.75" customHeight="1">
      <c r="A18" s="37"/>
      <c r="B18" s="45">
        <v>11.0</v>
      </c>
      <c r="C18" s="45" t="s">
        <v>768</v>
      </c>
      <c r="D18" s="47">
        <f>'Costo x Articulo'!G68/4</f>
        <v>1918.375</v>
      </c>
      <c r="E18" s="47">
        <v>3000.0</v>
      </c>
      <c r="F18" s="49">
        <f t="shared" si="5"/>
        <v>0.5638235486</v>
      </c>
      <c r="G18" s="37"/>
      <c r="H18" s="47">
        <f>75*12</f>
        <v>900</v>
      </c>
      <c r="I18" s="49">
        <f t="shared" si="6"/>
        <v>-0.5308529354</v>
      </c>
      <c r="J18" s="37"/>
      <c r="K18" s="47">
        <v>4.0</v>
      </c>
      <c r="L18" s="47">
        <f t="shared" si="19"/>
        <v>3600</v>
      </c>
      <c r="M18" s="47">
        <f t="shared" si="7"/>
        <v>-4073.5</v>
      </c>
      <c r="N18" s="161"/>
      <c r="O18" s="47">
        <f t="shared" ref="O18:P18" si="26">K18*12</f>
        <v>48</v>
      </c>
      <c r="P18" s="47">
        <f t="shared" si="26"/>
        <v>43200</v>
      </c>
      <c r="Q18" s="47">
        <f t="shared" si="9"/>
        <v>-32588</v>
      </c>
      <c r="R18" s="49">
        <f t="shared" si="10"/>
        <v>0.0142062913</v>
      </c>
      <c r="S18" s="37"/>
      <c r="T18" s="161">
        <f t="shared" si="11"/>
        <v>990</v>
      </c>
      <c r="U18" s="161"/>
      <c r="V18" s="161"/>
      <c r="W18" s="37"/>
      <c r="X18" s="37"/>
      <c r="Y18" s="37"/>
      <c r="Z18" s="37"/>
    </row>
    <row r="19" ht="12.75" customHeight="1" outlineLevel="1">
      <c r="A19" s="37"/>
      <c r="B19" s="45">
        <v>12.0</v>
      </c>
      <c r="C19" s="45" t="s">
        <v>769</v>
      </c>
      <c r="D19" s="47">
        <f>'Costo x Articulo'!G74/8</f>
        <v>694.4940476</v>
      </c>
      <c r="E19" s="47">
        <v>2400.0</v>
      </c>
      <c r="F19" s="49">
        <f t="shared" si="5"/>
        <v>2.45575316</v>
      </c>
      <c r="G19" s="37"/>
      <c r="H19" s="47">
        <f>H17</f>
        <v>350</v>
      </c>
      <c r="I19" s="49">
        <f t="shared" si="6"/>
        <v>-0.4960359974</v>
      </c>
      <c r="J19" s="37"/>
      <c r="K19" s="47"/>
      <c r="L19" s="47">
        <f t="shared" si="19"/>
        <v>0</v>
      </c>
      <c r="M19" s="47">
        <f t="shared" si="7"/>
        <v>0</v>
      </c>
      <c r="N19" s="161"/>
      <c r="O19" s="47"/>
      <c r="P19" s="47">
        <f>L19*12</f>
        <v>0</v>
      </c>
      <c r="Q19" s="47">
        <f t="shared" si="9"/>
        <v>0</v>
      </c>
      <c r="R19" s="49">
        <f t="shared" si="10"/>
        <v>0</v>
      </c>
      <c r="S19" s="37"/>
      <c r="T19" s="37"/>
      <c r="U19" s="161"/>
      <c r="V19" s="161"/>
      <c r="W19" s="37"/>
      <c r="X19" s="37"/>
      <c r="Y19" s="37"/>
      <c r="Z19" s="37"/>
    </row>
    <row r="20" ht="12.75" customHeight="1" outlineLevel="1">
      <c r="A20" s="37"/>
      <c r="B20" s="45">
        <v>13.0</v>
      </c>
      <c r="C20" s="45" t="s">
        <v>770</v>
      </c>
      <c r="D20" s="47">
        <f>SUM(Recetas!H176:H184)*2/6/10*7</f>
        <v>873.5688889</v>
      </c>
      <c r="E20" s="47">
        <v>2000.0</v>
      </c>
      <c r="F20" s="49">
        <f t="shared" si="5"/>
        <v>1.289458823</v>
      </c>
      <c r="G20" s="37"/>
      <c r="H20" s="47">
        <v>120.0</v>
      </c>
      <c r="I20" s="49">
        <f t="shared" si="6"/>
        <v>-0.8626324706</v>
      </c>
      <c r="J20" s="37"/>
      <c r="K20" s="47"/>
      <c r="L20" s="47">
        <f t="shared" si="19"/>
        <v>0</v>
      </c>
      <c r="M20" s="47">
        <f t="shared" si="7"/>
        <v>0</v>
      </c>
      <c r="N20" s="161"/>
      <c r="O20" s="47">
        <f t="shared" ref="O20:P20" si="27">K20*12</f>
        <v>0</v>
      </c>
      <c r="P20" s="47">
        <f t="shared" si="27"/>
        <v>0</v>
      </c>
      <c r="Q20" s="47">
        <f t="shared" si="9"/>
        <v>0</v>
      </c>
      <c r="R20" s="49">
        <f t="shared" si="10"/>
        <v>0</v>
      </c>
      <c r="S20" s="37"/>
      <c r="T20" s="37"/>
      <c r="U20" s="161"/>
      <c r="V20" s="161"/>
      <c r="W20" s="37"/>
      <c r="X20" s="37"/>
      <c r="Y20" s="37"/>
      <c r="Z20" s="37"/>
    </row>
    <row r="21" ht="12.75" customHeight="1" outlineLevel="1">
      <c r="A21" s="37"/>
      <c r="B21" s="45">
        <v>14.0</v>
      </c>
      <c r="C21" s="45" t="s">
        <v>771</v>
      </c>
      <c r="D21" s="47">
        <f>SUM(Recetas!H188:H196)*2/6/10*7</f>
        <v>1385.735556</v>
      </c>
      <c r="E21" s="47">
        <v>2600.0</v>
      </c>
      <c r="F21" s="49">
        <f t="shared" si="5"/>
        <v>0.8762598604</v>
      </c>
      <c r="G21" s="37"/>
      <c r="H21" s="47">
        <v>180.0</v>
      </c>
      <c r="I21" s="49">
        <f t="shared" si="6"/>
        <v>-0.8701050866</v>
      </c>
      <c r="J21" s="37"/>
      <c r="K21" s="47"/>
      <c r="L21" s="47">
        <f t="shared" si="19"/>
        <v>0</v>
      </c>
      <c r="M21" s="47">
        <f t="shared" si="7"/>
        <v>0</v>
      </c>
      <c r="N21" s="161"/>
      <c r="O21" s="47">
        <f t="shared" ref="O21:P21" si="28">K21*12</f>
        <v>0</v>
      </c>
      <c r="P21" s="47">
        <f t="shared" si="28"/>
        <v>0</v>
      </c>
      <c r="Q21" s="47">
        <f t="shared" si="9"/>
        <v>0</v>
      </c>
      <c r="R21" s="49">
        <f t="shared" si="10"/>
        <v>0</v>
      </c>
      <c r="S21" s="37"/>
      <c r="T21" s="37"/>
      <c r="U21" s="161"/>
      <c r="V21" s="161"/>
      <c r="W21" s="37"/>
      <c r="X21" s="37"/>
      <c r="Y21" s="37"/>
      <c r="Z21" s="37"/>
    </row>
    <row r="22" ht="12.75" customHeight="1" outlineLevel="1">
      <c r="A22" s="37"/>
      <c r="B22" s="45">
        <v>15.0</v>
      </c>
      <c r="C22" s="45" t="s">
        <v>772</v>
      </c>
      <c r="D22" s="47">
        <f>SUM(Recetas!H104:H112)*2/6/10*7</f>
        <v>1694.668889</v>
      </c>
      <c r="E22" s="47">
        <v>2900.0</v>
      </c>
      <c r="F22" s="49">
        <f t="shared" si="5"/>
        <v>0.7112487395</v>
      </c>
      <c r="G22" s="37"/>
      <c r="H22" s="47">
        <v>200.0</v>
      </c>
      <c r="I22" s="49">
        <f t="shared" si="6"/>
        <v>-0.8819828456</v>
      </c>
      <c r="J22" s="37"/>
      <c r="K22" s="47"/>
      <c r="L22" s="47">
        <f t="shared" si="19"/>
        <v>0</v>
      </c>
      <c r="M22" s="47">
        <f t="shared" si="7"/>
        <v>0</v>
      </c>
      <c r="N22" s="161"/>
      <c r="O22" s="47">
        <f t="shared" ref="O22:P22" si="29">K22*12</f>
        <v>0</v>
      </c>
      <c r="P22" s="47">
        <f t="shared" si="29"/>
        <v>0</v>
      </c>
      <c r="Q22" s="47">
        <f t="shared" si="9"/>
        <v>0</v>
      </c>
      <c r="R22" s="49">
        <f t="shared" si="10"/>
        <v>0</v>
      </c>
      <c r="S22" s="37"/>
      <c r="T22" s="37"/>
      <c r="U22" s="161"/>
      <c r="V22" s="161"/>
      <c r="W22" s="37"/>
      <c r="X22" s="37"/>
      <c r="Y22" s="37"/>
      <c r="Z22" s="37"/>
    </row>
    <row r="23" ht="12.75" customHeight="1" outlineLevel="1">
      <c r="A23" s="37"/>
      <c r="B23" s="45">
        <v>16.0</v>
      </c>
      <c r="C23" s="45" t="s">
        <v>773</v>
      </c>
      <c r="D23" s="47">
        <f>SUM(Recetas!H116:H124)</f>
        <v>9093.2</v>
      </c>
      <c r="E23" s="47">
        <v>22500.0</v>
      </c>
      <c r="F23" s="49">
        <f t="shared" si="5"/>
        <v>1.474376457</v>
      </c>
      <c r="G23" s="37"/>
      <c r="H23" s="47">
        <v>2000.0</v>
      </c>
      <c r="I23" s="49">
        <f t="shared" si="6"/>
        <v>-0.780055426</v>
      </c>
      <c r="J23" s="37"/>
      <c r="K23" s="47"/>
      <c r="L23" s="47">
        <f t="shared" si="19"/>
        <v>0</v>
      </c>
      <c r="M23" s="47">
        <f t="shared" si="7"/>
        <v>0</v>
      </c>
      <c r="N23" s="161"/>
      <c r="O23" s="47">
        <f t="shared" ref="O23:P23" si="30">K23*12</f>
        <v>0</v>
      </c>
      <c r="P23" s="47">
        <f t="shared" si="30"/>
        <v>0</v>
      </c>
      <c r="Q23" s="47">
        <f t="shared" si="9"/>
        <v>0</v>
      </c>
      <c r="R23" s="49">
        <f t="shared" si="10"/>
        <v>0</v>
      </c>
      <c r="S23" s="37"/>
      <c r="T23" s="37"/>
      <c r="U23" s="161"/>
      <c r="V23" s="161"/>
      <c r="W23" s="37"/>
      <c r="X23" s="37"/>
      <c r="Y23" s="37"/>
      <c r="Z23" s="37"/>
    </row>
    <row r="24" ht="12.75" customHeight="1" outlineLevel="1">
      <c r="A24" s="37"/>
      <c r="B24" s="45">
        <v>17.0</v>
      </c>
      <c r="C24" s="45" t="s">
        <v>774</v>
      </c>
      <c r="D24" s="47">
        <f>SUM(Recetas!H722:H725)</f>
        <v>685.5</v>
      </c>
      <c r="E24" s="47">
        <v>1500.0</v>
      </c>
      <c r="F24" s="49">
        <f t="shared" si="5"/>
        <v>1.188183807</v>
      </c>
      <c r="G24" s="37"/>
      <c r="H24" s="47">
        <v>150.0</v>
      </c>
      <c r="I24" s="49">
        <f t="shared" si="6"/>
        <v>-0.7811816193</v>
      </c>
      <c r="J24" s="37"/>
      <c r="K24" s="47"/>
      <c r="L24" s="47">
        <f t="shared" si="19"/>
        <v>0</v>
      </c>
      <c r="M24" s="47">
        <f t="shared" si="7"/>
        <v>0</v>
      </c>
      <c r="N24" s="161"/>
      <c r="O24" s="47"/>
      <c r="P24" s="47">
        <f t="shared" ref="P24:P25" si="31">L24*12</f>
        <v>0</v>
      </c>
      <c r="Q24" s="47">
        <f t="shared" si="9"/>
        <v>0</v>
      </c>
      <c r="R24" s="49">
        <f t="shared" si="10"/>
        <v>0</v>
      </c>
      <c r="S24" s="37"/>
      <c r="T24" s="37"/>
      <c r="U24" s="161"/>
      <c r="V24" s="161"/>
      <c r="W24" s="37"/>
      <c r="X24" s="37"/>
      <c r="Y24" s="37"/>
      <c r="Z24" s="37"/>
    </row>
    <row r="25" ht="12.75" customHeight="1" outlineLevel="1">
      <c r="A25" s="37"/>
      <c r="B25" s="45">
        <v>18.0</v>
      </c>
      <c r="C25" s="45" t="s">
        <v>775</v>
      </c>
      <c r="D25" s="47"/>
      <c r="E25" s="47">
        <v>1100.0</v>
      </c>
      <c r="F25" s="49">
        <f t="shared" si="5"/>
        <v>0</v>
      </c>
      <c r="G25" s="37"/>
      <c r="H25" s="47">
        <v>980.0</v>
      </c>
      <c r="I25" s="49">
        <f t="shared" si="6"/>
        <v>0</v>
      </c>
      <c r="J25" s="37"/>
      <c r="K25" s="47">
        <v>1.0</v>
      </c>
      <c r="L25" s="47">
        <f t="shared" si="19"/>
        <v>980</v>
      </c>
      <c r="M25" s="47">
        <f t="shared" si="7"/>
        <v>980</v>
      </c>
      <c r="N25" s="161"/>
      <c r="O25" s="47">
        <v>6.0</v>
      </c>
      <c r="P25" s="47">
        <f t="shared" si="31"/>
        <v>11760</v>
      </c>
      <c r="Q25" s="47">
        <f t="shared" si="9"/>
        <v>7840</v>
      </c>
      <c r="R25" s="49"/>
      <c r="S25" s="37"/>
      <c r="T25" s="37"/>
      <c r="U25" s="161"/>
      <c r="V25" s="161"/>
      <c r="W25" s="37"/>
      <c r="X25" s="37"/>
      <c r="Y25" s="37"/>
      <c r="Z25" s="37"/>
    </row>
    <row r="26" ht="5.25" customHeight="1">
      <c r="A26" s="37"/>
      <c r="B26" s="50"/>
      <c r="C26" s="50"/>
      <c r="D26" s="52"/>
      <c r="E26" s="50"/>
      <c r="F26" s="54">
        <f t="shared" si="5"/>
        <v>0</v>
      </c>
      <c r="G26" s="37"/>
      <c r="H26" s="50"/>
      <c r="I26" s="54">
        <f t="shared" si="6"/>
        <v>0</v>
      </c>
      <c r="J26" s="37"/>
      <c r="K26" s="52"/>
      <c r="L26" s="52"/>
      <c r="M26" s="52"/>
      <c r="N26" s="161"/>
      <c r="O26" s="52"/>
      <c r="P26" s="52"/>
      <c r="Q26" s="52">
        <f t="shared" si="9"/>
        <v>0</v>
      </c>
      <c r="R26" s="54"/>
      <c r="S26" s="37"/>
      <c r="T26" s="37"/>
      <c r="U26" s="37"/>
      <c r="V26" s="37"/>
      <c r="W26" s="37"/>
      <c r="X26" s="37"/>
      <c r="Y26" s="37"/>
      <c r="Z26" s="37"/>
    </row>
    <row r="27" ht="6.0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37"/>
      <c r="C28" s="37"/>
      <c r="D28" s="37"/>
      <c r="E28" s="37"/>
      <c r="F28" s="37"/>
      <c r="G28" s="37"/>
      <c r="H28" s="161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37"/>
      <c r="C29" s="37"/>
      <c r="D29" s="37"/>
      <c r="E29" s="161"/>
      <c r="F29" s="37"/>
      <c r="G29" s="37"/>
      <c r="H29" s="161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37"/>
      <c r="C30" s="37"/>
      <c r="D30" s="37"/>
      <c r="E30" s="161"/>
      <c r="F30" s="37"/>
      <c r="G30" s="37"/>
      <c r="H30" s="161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6:M6"/>
    <mergeCell ref="O6:R6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/>
  <cols>
    <col customWidth="1" min="1" max="1" width="8.63"/>
    <col customWidth="1" hidden="1" min="2" max="2" width="31.13" outlineLevel="1"/>
    <col collapsed="1" customWidth="1" min="3" max="3" width="35.0"/>
    <col customWidth="1" min="4" max="4" width="8.88"/>
    <col customWidth="1" min="5" max="26" width="8.63"/>
  </cols>
  <sheetData>
    <row r="1" ht="12.0" customHeight="1">
      <c r="A1" s="36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0" customHeight="1">
      <c r="A2" s="36"/>
      <c r="B2" s="37"/>
      <c r="C2" s="163" t="s">
        <v>776</v>
      </c>
      <c r="D2" s="163" t="s">
        <v>777</v>
      </c>
      <c r="E2" s="163" t="s">
        <v>359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0" customHeight="1">
      <c r="A3" s="36"/>
      <c r="B3" s="37" t="s">
        <v>727</v>
      </c>
      <c r="C3" s="164" t="s">
        <v>778</v>
      </c>
      <c r="D3" s="164"/>
      <c r="E3" s="165">
        <f>SUMIF(Recetas!C:C,Catering!B3,Recetas!H:H)</f>
        <v>25370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0" customHeight="1">
      <c r="A4" s="39"/>
      <c r="B4" s="37" t="s">
        <v>728</v>
      </c>
      <c r="C4" s="166" t="s">
        <v>779</v>
      </c>
      <c r="D4" s="166"/>
      <c r="E4" s="167">
        <f>SUMIF(Recetas!C:C,Catering!B4,Recetas!H:H)</f>
        <v>19400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0" customHeight="1">
      <c r="A5" s="37"/>
      <c r="B5" s="37" t="s">
        <v>729</v>
      </c>
      <c r="C5" s="166" t="s">
        <v>780</v>
      </c>
      <c r="D5" s="166"/>
      <c r="E5" s="167">
        <f>SUMIF(Recetas!C:C,Catering!B5,Recetas!H:H)/24*50</f>
        <v>38229.16667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0" customHeight="1">
      <c r="A6" s="37"/>
      <c r="B6" s="37" t="s">
        <v>730</v>
      </c>
      <c r="C6" s="166" t="s">
        <v>781</v>
      </c>
      <c r="D6" s="166"/>
      <c r="E6" s="167">
        <f>SUMIF(Recetas!C:C,Catering!B6,Recetas!H:H)</f>
        <v>44966.66667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0" customHeight="1">
      <c r="A7" s="37"/>
      <c r="B7" s="37" t="s">
        <v>731</v>
      </c>
      <c r="C7" s="166" t="s">
        <v>782</v>
      </c>
      <c r="D7" s="166"/>
      <c r="E7" s="167">
        <f>SUMIF(Recetas!C:C,Catering!B7,Recetas!H:H)</f>
        <v>24875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0" customHeight="1">
      <c r="A8" s="37"/>
      <c r="B8" s="37" t="s">
        <v>783</v>
      </c>
      <c r="C8" s="166" t="s">
        <v>784</v>
      </c>
      <c r="D8" s="166"/>
      <c r="E8" s="167">
        <f>SUM(Recetas!H953:H960)/12*50</f>
        <v>62901.66667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2.0" customHeight="1">
      <c r="A9" s="37"/>
      <c r="B9" s="37" t="s">
        <v>785</v>
      </c>
      <c r="C9" s="166" t="s">
        <v>786</v>
      </c>
      <c r="D9" s="166"/>
      <c r="E9" s="167">
        <f>SUM(Recetas!H946:H952)/12*50</f>
        <v>30297.5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2.0" customHeight="1">
      <c r="A10" s="37"/>
      <c r="B10" s="37" t="s">
        <v>669</v>
      </c>
      <c r="C10" s="168" t="s">
        <v>787</v>
      </c>
      <c r="D10" s="169"/>
      <c r="E10" s="170">
        <f>SUM(Recetas!H710:H713)/12*50</f>
        <v>5036.607143</v>
      </c>
      <c r="F10" s="37"/>
      <c r="G10" s="37"/>
      <c r="H10" s="37"/>
      <c r="I10" s="37"/>
      <c r="J10" s="37"/>
      <c r="K10" s="37"/>
      <c r="L10" s="37">
        <f>281*2</f>
        <v>562</v>
      </c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2.0" customHeight="1">
      <c r="A11" s="37"/>
      <c r="B11" s="37"/>
      <c r="C11" s="37"/>
      <c r="D11" s="171">
        <f t="shared" ref="D11:E11" si="1">SUM(D3:D10)</f>
        <v>0</v>
      </c>
      <c r="E11" s="171">
        <f t="shared" si="1"/>
        <v>251076.6071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2.0" customHeight="1">
      <c r="A12" s="37"/>
      <c r="B12" s="37"/>
      <c r="C12" s="37"/>
      <c r="D12" s="37"/>
      <c r="E12" s="160">
        <f>D11/E11-1</f>
        <v>-1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0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2.0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2.0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2.0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0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0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0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0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0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0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0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0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0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0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0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0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0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0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0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0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0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0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0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0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0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0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0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0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0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0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0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0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0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0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0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0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0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0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0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0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0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0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0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0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0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0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0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0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0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0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0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0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0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0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0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0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0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0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0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0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0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0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0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0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0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0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0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0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0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0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0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0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0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0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0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0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0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0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0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0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0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0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0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0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0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0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0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0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0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0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0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0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0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0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0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0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0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0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0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0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0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0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0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0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0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0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0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0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0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0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0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0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0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0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0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0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0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0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0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0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0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0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0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0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0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0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0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0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0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0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0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0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0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0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0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0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0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0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0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0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0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0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0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0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0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0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0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0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0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0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0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0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0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0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0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0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0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0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0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0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0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0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0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0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0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0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0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0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0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0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0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0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0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0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0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0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0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0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0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0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0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0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0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0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0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0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0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0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0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0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0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0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0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0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0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0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0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0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0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0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0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0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0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0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0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0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0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0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0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0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0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0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0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0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0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0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0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0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0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0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0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0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0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0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0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0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0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0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0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0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0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0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0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0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0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0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0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0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0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0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0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0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0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0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0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0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0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0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0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0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0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0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0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0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0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0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0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0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0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0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0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0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0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0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0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0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0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0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0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0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0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0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0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0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0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0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0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0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0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0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0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0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0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0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0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0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0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0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0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0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0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0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0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0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0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0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0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0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0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0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0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0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0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0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0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0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0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0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0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0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0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0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0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0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0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0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0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0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0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0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0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0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0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0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0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0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0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0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0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0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0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0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0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0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0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0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0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0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0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0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0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0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0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0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0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0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0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0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0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0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0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0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0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0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0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0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0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0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0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0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0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0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0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0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0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0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0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0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0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0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0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0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0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0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0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0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0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0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0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0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0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0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0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0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0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0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0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0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0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0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0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0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0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0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0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0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0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0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0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0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0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0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0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0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0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0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0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0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0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0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0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0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0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0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0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0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0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0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0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0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0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0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0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0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0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0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0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0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0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0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0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0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0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0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0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0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0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0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0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0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0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0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0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0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0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0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0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0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0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0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0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0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0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0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0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0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0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0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0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0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0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0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0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0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0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0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0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0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0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0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0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0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0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0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0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0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0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0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0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0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0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0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0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0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0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0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0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0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0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0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0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0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0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0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0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0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0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0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0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0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0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0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0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0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0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0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0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0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0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0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0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0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0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0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0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0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0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0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0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0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0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0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0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0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0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0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0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0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0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0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0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0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0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0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0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0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0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0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0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0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0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0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0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0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0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0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0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0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0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0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0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0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0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0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0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0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0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0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0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0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0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0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0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0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0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0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0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0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0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0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0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0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0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0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0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0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0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0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0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0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0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0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0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0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0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0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0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0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0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0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0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0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0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0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0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0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0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0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0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0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0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0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0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0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0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0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0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0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0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0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0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0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0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0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0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0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0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0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0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0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0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0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0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0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0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0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0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0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0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0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0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0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0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0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0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0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0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0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0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0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0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0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0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0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0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0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0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0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0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0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0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0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0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0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0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0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0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0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0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0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0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0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0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0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0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0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0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0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0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0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0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0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0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0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0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0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0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0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0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0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0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0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0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0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0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0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0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0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0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0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0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0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0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0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0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0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0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0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0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0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0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0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0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0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0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0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0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0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0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0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0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0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0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0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0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0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0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0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0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0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0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0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0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0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0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0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0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0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0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0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0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0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0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0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0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0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0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0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0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0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0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0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0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0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0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0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0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0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0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0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0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0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0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0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0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0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0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0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0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0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0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0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0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0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0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0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0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0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0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0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0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0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0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0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0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0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0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0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0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0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0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0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0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0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0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0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0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0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0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0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0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0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0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0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0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0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0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0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0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0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0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0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0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0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0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0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0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0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0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0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0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0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0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0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0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0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0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0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0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0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0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0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0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0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0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0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0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0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0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0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0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0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0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0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0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0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0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0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0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0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0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0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0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0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0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0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0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0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0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0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0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0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0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0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0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0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0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0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0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0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0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0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0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0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0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0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0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0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0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0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0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0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0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0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0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0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0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0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0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0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0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0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0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0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0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0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0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0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0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0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0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0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0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0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0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0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0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0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0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0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0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0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0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0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0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0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0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0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0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0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0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0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0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0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0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0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0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0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0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0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0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0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0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0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0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0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0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0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0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0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0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0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0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0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0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0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0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0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0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0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0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0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0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0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0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0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0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0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0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0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0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0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0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0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0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0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0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0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0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0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0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0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0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0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0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0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0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0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0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0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0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0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0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0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0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0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0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0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0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0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0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0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0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0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0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0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0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7.63"/>
    <col customWidth="1" min="3" max="4" width="9.38"/>
    <col customWidth="1" min="5" max="5" width="17.88"/>
    <col customWidth="1" min="6" max="6" width="40.0"/>
    <col customWidth="1" min="7" max="10" width="9.88"/>
    <col customWidth="1" min="11" max="26" width="7.6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/>
      <c r="B3" s="7" t="s">
        <v>0</v>
      </c>
      <c r="C3" s="7" t="s">
        <v>1</v>
      </c>
      <c r="D3" s="7" t="s">
        <v>3</v>
      </c>
      <c r="E3" s="7" t="s">
        <v>560</v>
      </c>
      <c r="F3" s="7" t="s">
        <v>356</v>
      </c>
      <c r="G3" s="7" t="s">
        <v>8</v>
      </c>
      <c r="H3" s="7" t="s">
        <v>9</v>
      </c>
      <c r="I3" s="7" t="s">
        <v>10</v>
      </c>
      <c r="J3" s="7" t="s">
        <v>11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"/>
      <c r="B4" s="172">
        <v>1.0</v>
      </c>
      <c r="C4" s="173">
        <v>44637.0</v>
      </c>
      <c r="D4" s="172">
        <f t="shared" ref="D4:D61" si="1">IFERROR(MONTH(C4),"")</f>
        <v>3</v>
      </c>
      <c r="E4" s="174">
        <v>1.0</v>
      </c>
      <c r="F4" s="174" t="str">
        <f>IFERROR(VLOOKUP(E4,Bar!$B:$C,2,0),"")</f>
        <v>Budín Limón</v>
      </c>
      <c r="G4" s="172">
        <v>3.0</v>
      </c>
      <c r="H4" s="172">
        <f>IFERROR(IFERROR(VLOOKUP(E4,Bar!$B:$D,3,0),"")*G4,"")</f>
        <v>16674.2</v>
      </c>
      <c r="I4" s="172">
        <v>2400.0</v>
      </c>
      <c r="J4" s="172">
        <f t="shared" ref="J4:J434" si="2">IFERROR(I4-H4,"")</f>
        <v>-14274.2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13"/>
      <c r="B5" s="175">
        <v>1.0</v>
      </c>
      <c r="C5" s="176">
        <v>44637.0</v>
      </c>
      <c r="D5" s="175">
        <f t="shared" si="1"/>
        <v>3</v>
      </c>
      <c r="E5" s="177">
        <v>2.0</v>
      </c>
      <c r="F5" s="177" t="str">
        <f>IFERROR(VLOOKUP(E5,Bar!$B:$C,2,0),"")</f>
        <v>Budín zanahoria</v>
      </c>
      <c r="G5" s="175">
        <v>3.0</v>
      </c>
      <c r="H5" s="175">
        <f>IFERROR(IFERROR(VLOOKUP(E5,Bar!$B:$D,3,0),"")*G5,"")</f>
        <v>16674.2</v>
      </c>
      <c r="I5" s="175">
        <v>2400.0</v>
      </c>
      <c r="J5" s="175">
        <f t="shared" si="2"/>
        <v>-14274.2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13"/>
      <c r="B6" s="175">
        <v>1.0</v>
      </c>
      <c r="C6" s="176">
        <v>44637.0</v>
      </c>
      <c r="D6" s="175">
        <f t="shared" si="1"/>
        <v>3</v>
      </c>
      <c r="E6" s="177">
        <v>3.0</v>
      </c>
      <c r="F6" s="177" t="str">
        <f>IFERROR(VLOOKUP(E6,Bar!$B:$C,2,0),"")</f>
        <v>Budín marmolado</v>
      </c>
      <c r="G6" s="175">
        <v>3.0</v>
      </c>
      <c r="H6" s="175">
        <f>IFERROR(IFERROR(VLOOKUP(E6,Bar!$B:$D,3,0),"")*G6,"")</f>
        <v>16674.2</v>
      </c>
      <c r="I6" s="175">
        <v>2400.0</v>
      </c>
      <c r="J6" s="175">
        <f t="shared" si="2"/>
        <v>-14274.2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13"/>
      <c r="B7" s="175">
        <v>1.0</v>
      </c>
      <c r="C7" s="176">
        <v>44637.0</v>
      </c>
      <c r="D7" s="175">
        <f t="shared" si="1"/>
        <v>3</v>
      </c>
      <c r="E7" s="177">
        <v>4.0</v>
      </c>
      <c r="F7" s="177" t="str">
        <f>IFERROR(VLOOKUP(E7,Bar!$B:$C,2,0),"")</f>
        <v>Budín frutos secos</v>
      </c>
      <c r="G7" s="175">
        <v>3.0</v>
      </c>
      <c r="H7" s="175">
        <f>IFERROR(IFERROR(VLOOKUP(E7,Bar!$B:$D,3,0),"")*G7,"")</f>
        <v>19814.2</v>
      </c>
      <c r="I7" s="175">
        <v>2400.0</v>
      </c>
      <c r="J7" s="175">
        <f t="shared" si="2"/>
        <v>-17414.2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3"/>
      <c r="B8" s="178">
        <v>1.0</v>
      </c>
      <c r="C8" s="179">
        <v>44637.0</v>
      </c>
      <c r="D8" s="178">
        <f t="shared" si="1"/>
        <v>3</v>
      </c>
      <c r="E8" s="180">
        <v>11.0</v>
      </c>
      <c r="F8" s="180" t="str">
        <f>IFERROR(VLOOKUP(E8,Bar!$B:$C,2,0),"")</f>
        <v>Macarrons x12</v>
      </c>
      <c r="G8" s="178">
        <v>2.0</v>
      </c>
      <c r="H8" s="178">
        <f>IFERROR(IFERROR(VLOOKUP(E8,Bar!$B:$D,3,0),"")*G8,"")</f>
        <v>3836.75</v>
      </c>
      <c r="I8" s="178">
        <v>1000.0</v>
      </c>
      <c r="J8" s="178">
        <f t="shared" si="2"/>
        <v>-2836.75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3"/>
      <c r="B9" s="175">
        <f>B8+1</f>
        <v>2</v>
      </c>
      <c r="C9" s="176">
        <v>44638.0</v>
      </c>
      <c r="D9" s="175">
        <f t="shared" si="1"/>
        <v>3</v>
      </c>
      <c r="E9" s="177">
        <v>8.0</v>
      </c>
      <c r="F9" s="177" t="str">
        <f>IFERROR(VLOOKUP(E9,Bar!$B:$C,2,0),"")</f>
        <v>Cheese Cake Frutos rojos</v>
      </c>
      <c r="G9" s="175">
        <v>24.0</v>
      </c>
      <c r="H9" s="175">
        <f>IFERROR(IFERROR(VLOOKUP(E9,Bar!$B:$D,3,0),"")*G9,"")</f>
        <v>60999.72736</v>
      </c>
      <c r="I9" s="175">
        <v>6480.0</v>
      </c>
      <c r="J9" s="175">
        <f t="shared" si="2"/>
        <v>-54519.72736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13"/>
      <c r="B10" s="175">
        <v>2.0</v>
      </c>
      <c r="C10" s="176">
        <f t="shared" ref="C10:C19" si="3">IFERROR(IF(B10=B9,C9,""),"")</f>
        <v>44638</v>
      </c>
      <c r="D10" s="175">
        <f t="shared" si="1"/>
        <v>3</v>
      </c>
      <c r="E10" s="177">
        <v>5.0</v>
      </c>
      <c r="F10" s="181" t="str">
        <f>IFERROR(VLOOKUP(E10,Bar!$B:$C,2,0),"")</f>
        <v>Lemon Pie</v>
      </c>
      <c r="G10" s="175">
        <v>12.0</v>
      </c>
      <c r="H10" s="175">
        <f>IFERROR(IFERROR(VLOOKUP(E10,Bar!$B:$D,3,0),"")*G10,"")</f>
        <v>18247.06667</v>
      </c>
      <c r="I10" s="175">
        <v>3240.0</v>
      </c>
      <c r="J10" s="175">
        <f t="shared" si="2"/>
        <v>-15007.06667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13"/>
      <c r="B11" s="175">
        <v>2.0</v>
      </c>
      <c r="C11" s="176">
        <f t="shared" si="3"/>
        <v>44638</v>
      </c>
      <c r="D11" s="175">
        <f t="shared" si="1"/>
        <v>3</v>
      </c>
      <c r="E11" s="177">
        <v>6.0</v>
      </c>
      <c r="F11" s="177" t="str">
        <f>IFERROR(VLOOKUP(E11,Bar!$B:$C,2,0),"")</f>
        <v>Browrnie Oreo</v>
      </c>
      <c r="G11" s="175">
        <v>24.0</v>
      </c>
      <c r="H11" s="175">
        <f>IFERROR(IFERROR(VLOOKUP(E11,Bar!$B:$D,3,0),"")*G11,"")</f>
        <v>58293.31111</v>
      </c>
      <c r="I11" s="175">
        <v>6480.0</v>
      </c>
      <c r="J11" s="175">
        <f t="shared" si="2"/>
        <v>-51813.31111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3"/>
      <c r="B12" s="175">
        <v>2.0</v>
      </c>
      <c r="C12" s="176">
        <f t="shared" si="3"/>
        <v>44638</v>
      </c>
      <c r="D12" s="175">
        <f t="shared" si="1"/>
        <v>3</v>
      </c>
      <c r="E12" s="177">
        <v>7.0</v>
      </c>
      <c r="F12" s="177" t="str">
        <f>IFERROR(VLOOKUP(E12,Bar!$B:$C,2,0),"")</f>
        <v>Chocotorta</v>
      </c>
      <c r="G12" s="175">
        <v>24.0</v>
      </c>
      <c r="H12" s="175">
        <f>IFERROR(IFERROR(VLOOKUP(E12,Bar!$B:$D,3,0),"")*G12,"")</f>
        <v>67614.28571</v>
      </c>
      <c r="I12" s="175">
        <v>6480.0</v>
      </c>
      <c r="J12" s="175">
        <f t="shared" si="2"/>
        <v>-61134.28571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3"/>
      <c r="B13" s="175">
        <v>2.0</v>
      </c>
      <c r="C13" s="176">
        <f t="shared" si="3"/>
        <v>44638</v>
      </c>
      <c r="D13" s="175">
        <f t="shared" si="1"/>
        <v>3</v>
      </c>
      <c r="E13" s="177">
        <v>9.0</v>
      </c>
      <c r="F13" s="177" t="str">
        <f>IFERROR(VLOOKUP(E13,Bar!$B:$C,2,0),"")</f>
        <v>Torta Oreo</v>
      </c>
      <c r="G13" s="175">
        <v>12.0</v>
      </c>
      <c r="H13" s="175">
        <f>IFERROR(IFERROR(VLOOKUP(E13,Bar!$B:$D,3,0),"")*G13,"")</f>
        <v>35830</v>
      </c>
      <c r="I13" s="175">
        <v>3240.0</v>
      </c>
      <c r="J13" s="175">
        <f t="shared" si="2"/>
        <v>-32590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3"/>
      <c r="B14" s="175">
        <v>2.0</v>
      </c>
      <c r="C14" s="176">
        <f t="shared" si="3"/>
        <v>44638</v>
      </c>
      <c r="D14" s="175">
        <f t="shared" si="1"/>
        <v>3</v>
      </c>
      <c r="E14" s="177">
        <v>10.0</v>
      </c>
      <c r="F14" s="177" t="str">
        <f>IFERROR(VLOOKUP(E14,Bar!$B:$C,2,0),"")</f>
        <v>Apple Crumble</v>
      </c>
      <c r="G14" s="175">
        <v>17.0</v>
      </c>
      <c r="H14" s="175">
        <f>IFERROR(IFERROR(VLOOKUP(E14,Bar!$B:$D,3,0),"")*G14,"")</f>
        <v>19000.66389</v>
      </c>
      <c r="I14" s="175">
        <v>4590.0</v>
      </c>
      <c r="J14" s="175">
        <f t="shared" si="2"/>
        <v>-14410.66389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3"/>
      <c r="B15" s="175">
        <v>2.0</v>
      </c>
      <c r="C15" s="176">
        <f t="shared" si="3"/>
        <v>44638</v>
      </c>
      <c r="D15" s="175">
        <f t="shared" si="1"/>
        <v>3</v>
      </c>
      <c r="E15" s="177">
        <v>1.0</v>
      </c>
      <c r="F15" s="177" t="str">
        <f>IFERROR(VLOOKUP(E15,Bar!$B:$C,2,0),"")</f>
        <v>Budín Limón</v>
      </c>
      <c r="G15" s="175">
        <v>3.0</v>
      </c>
      <c r="H15" s="175">
        <f>IFERROR(IFERROR(VLOOKUP(E15,Bar!$B:$D,3,0),"")*G15,"")</f>
        <v>16674.2</v>
      </c>
      <c r="I15" s="175">
        <v>2400.0</v>
      </c>
      <c r="J15" s="175">
        <f t="shared" si="2"/>
        <v>-14274.2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3"/>
      <c r="B16" s="175">
        <v>2.0</v>
      </c>
      <c r="C16" s="176">
        <f t="shared" si="3"/>
        <v>44638</v>
      </c>
      <c r="D16" s="175">
        <f t="shared" si="1"/>
        <v>3</v>
      </c>
      <c r="E16" s="177">
        <v>2.0</v>
      </c>
      <c r="F16" s="177" t="str">
        <f>IFERROR(VLOOKUP(E16,Bar!$B:$C,2,0),"")</f>
        <v>Budín zanahoria</v>
      </c>
      <c r="G16" s="175">
        <v>3.0</v>
      </c>
      <c r="H16" s="175">
        <f>IFERROR(IFERROR(VLOOKUP(E16,Bar!$B:$D,3,0),"")*G16,"")</f>
        <v>16674.2</v>
      </c>
      <c r="I16" s="175">
        <v>2400.0</v>
      </c>
      <c r="J16" s="175">
        <f t="shared" si="2"/>
        <v>-14274.2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3"/>
      <c r="B17" s="175">
        <v>2.0</v>
      </c>
      <c r="C17" s="176">
        <f t="shared" si="3"/>
        <v>44638</v>
      </c>
      <c r="D17" s="175">
        <f t="shared" si="1"/>
        <v>3</v>
      </c>
      <c r="E17" s="177">
        <v>3.0</v>
      </c>
      <c r="F17" s="182" t="str">
        <f>IFERROR(VLOOKUP(E17,Bar!$B:$C,2,0),"")</f>
        <v>Budín marmolado</v>
      </c>
      <c r="G17" s="175">
        <v>3.0</v>
      </c>
      <c r="H17" s="175">
        <f>IFERROR(IFERROR(VLOOKUP(E17,Bar!$B:$D,3,0),"")*G17,"")</f>
        <v>16674.2</v>
      </c>
      <c r="I17" s="175">
        <v>2400.0</v>
      </c>
      <c r="J17" s="175">
        <f t="shared" si="2"/>
        <v>-14274.2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3"/>
      <c r="B18" s="175">
        <v>2.0</v>
      </c>
      <c r="C18" s="176">
        <f t="shared" si="3"/>
        <v>44638</v>
      </c>
      <c r="D18" s="175">
        <f t="shared" si="1"/>
        <v>3</v>
      </c>
      <c r="E18" s="177">
        <v>4.0</v>
      </c>
      <c r="F18" s="181" t="str">
        <f>IFERROR(VLOOKUP(E18,Bar!$B:$C,2,0),"")</f>
        <v>Budín frutos secos</v>
      </c>
      <c r="G18" s="175">
        <v>3.0</v>
      </c>
      <c r="H18" s="175">
        <f>IFERROR(IFERROR(VLOOKUP(E18,Bar!$B:$D,3,0),"")*G18,"")</f>
        <v>19814.2</v>
      </c>
      <c r="I18" s="175">
        <v>2400.0</v>
      </c>
      <c r="J18" s="175">
        <f t="shared" si="2"/>
        <v>-17414.2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3"/>
      <c r="B19" s="178">
        <v>2.0</v>
      </c>
      <c r="C19" s="179">
        <f t="shared" si="3"/>
        <v>44638</v>
      </c>
      <c r="D19" s="178">
        <f t="shared" si="1"/>
        <v>3</v>
      </c>
      <c r="E19" s="180">
        <v>11.0</v>
      </c>
      <c r="F19" s="183" t="str">
        <f>IFERROR(VLOOKUP(E19,Bar!$B:$C,2,0),"")</f>
        <v>Macarrons x12</v>
      </c>
      <c r="G19" s="178">
        <v>4.0</v>
      </c>
      <c r="H19" s="178">
        <f>IFERROR(IFERROR(VLOOKUP(E19,Bar!$B:$D,3,0),"")*G19,"")</f>
        <v>7673.5</v>
      </c>
      <c r="I19" s="178">
        <v>2000.0</v>
      </c>
      <c r="J19" s="178">
        <f t="shared" si="2"/>
        <v>-5673.5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3"/>
      <c r="B20" s="175">
        <f>B19+1</f>
        <v>3</v>
      </c>
      <c r="C20" s="176">
        <v>44641.0</v>
      </c>
      <c r="D20" s="175">
        <f t="shared" si="1"/>
        <v>3</v>
      </c>
      <c r="E20" s="177">
        <v>8.0</v>
      </c>
      <c r="F20" s="182" t="str">
        <f>IFERROR(VLOOKUP(E20,Bar!$B:$C,2,0),"")</f>
        <v>Cheese Cake Frutos rojos</v>
      </c>
      <c r="G20" s="175">
        <v>24.0</v>
      </c>
      <c r="H20" s="175">
        <f>IFERROR(IFERROR(VLOOKUP(E20,Bar!$B:$D,3,0),"")*G20,"")</f>
        <v>60999.72736</v>
      </c>
      <c r="I20" s="175">
        <v>6480.0</v>
      </c>
      <c r="J20" s="175">
        <f t="shared" si="2"/>
        <v>-54519.72736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13"/>
      <c r="B21" s="175">
        <v>3.0</v>
      </c>
      <c r="C21" s="176">
        <f t="shared" ref="C21:C26" si="4">IFERROR(IF(B21=B20,C20,""),"")</f>
        <v>44641</v>
      </c>
      <c r="D21" s="175">
        <f t="shared" si="1"/>
        <v>3</v>
      </c>
      <c r="E21" s="177">
        <v>5.0</v>
      </c>
      <c r="F21" s="182" t="str">
        <f>IFERROR(VLOOKUP(E21,Bar!$B:$C,2,0),"")</f>
        <v>Lemon Pie</v>
      </c>
      <c r="G21" s="175">
        <v>12.0</v>
      </c>
      <c r="H21" s="175">
        <f>IFERROR(IFERROR(VLOOKUP(E21,Bar!$B:$D,3,0),"")*G21,"")</f>
        <v>18247.06667</v>
      </c>
      <c r="I21" s="175">
        <v>3240.0</v>
      </c>
      <c r="J21" s="175">
        <f t="shared" si="2"/>
        <v>-15007.06667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13"/>
      <c r="B22" s="175">
        <v>3.0</v>
      </c>
      <c r="C22" s="176">
        <f t="shared" si="4"/>
        <v>44641</v>
      </c>
      <c r="D22" s="175">
        <f t="shared" si="1"/>
        <v>3</v>
      </c>
      <c r="E22" s="177">
        <v>7.0</v>
      </c>
      <c r="F22" s="177" t="str">
        <f>IFERROR(VLOOKUP(E22,Bar!$B:$C,2,0),"")</f>
        <v>Chocotorta</v>
      </c>
      <c r="G22" s="175">
        <v>18.0</v>
      </c>
      <c r="H22" s="175">
        <f>IFERROR(IFERROR(VLOOKUP(E22,Bar!$B:$D,3,0),"")*G22,"")</f>
        <v>50710.71429</v>
      </c>
      <c r="I22" s="175">
        <v>4860.0</v>
      </c>
      <c r="J22" s="175">
        <f t="shared" si="2"/>
        <v>-45850.71429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3"/>
      <c r="B23" s="175">
        <v>3.0</v>
      </c>
      <c r="C23" s="176">
        <f t="shared" si="4"/>
        <v>44641</v>
      </c>
      <c r="D23" s="175">
        <f t="shared" si="1"/>
        <v>3</v>
      </c>
      <c r="E23" s="177">
        <v>10.0</v>
      </c>
      <c r="F23" s="177" t="str">
        <f>IFERROR(VLOOKUP(E23,Bar!$B:$C,2,0),"")</f>
        <v>Apple Crumble</v>
      </c>
      <c r="G23" s="175">
        <v>18.0</v>
      </c>
      <c r="H23" s="175">
        <f>IFERROR(IFERROR(VLOOKUP(E23,Bar!$B:$D,3,0),"")*G23,"")</f>
        <v>20118.35</v>
      </c>
      <c r="I23" s="175">
        <v>4860.0</v>
      </c>
      <c r="J23" s="175">
        <f t="shared" si="2"/>
        <v>-15258.35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/>
      <c r="B24" s="175">
        <v>3.0</v>
      </c>
      <c r="C24" s="176">
        <f t="shared" si="4"/>
        <v>44641</v>
      </c>
      <c r="D24" s="175">
        <f t="shared" si="1"/>
        <v>3</v>
      </c>
      <c r="E24" s="177">
        <v>9.0</v>
      </c>
      <c r="F24" s="177" t="str">
        <f>IFERROR(VLOOKUP(E24,Bar!$B:$C,2,0),"")</f>
        <v>Torta Oreo</v>
      </c>
      <c r="G24" s="175">
        <v>17.0</v>
      </c>
      <c r="H24" s="175">
        <f>IFERROR(IFERROR(VLOOKUP(E24,Bar!$B:$D,3,0),"")*G24,"")</f>
        <v>50759.16667</v>
      </c>
      <c r="I24" s="175">
        <v>4590.0</v>
      </c>
      <c r="J24" s="175">
        <f t="shared" si="2"/>
        <v>-46169.16667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/>
      <c r="B25" s="175">
        <v>3.0</v>
      </c>
      <c r="C25" s="176">
        <f t="shared" si="4"/>
        <v>44641</v>
      </c>
      <c r="D25" s="175">
        <f t="shared" si="1"/>
        <v>3</v>
      </c>
      <c r="E25" s="177">
        <v>6.0</v>
      </c>
      <c r="F25" s="177" t="str">
        <f>IFERROR(VLOOKUP(E25,Bar!$B:$C,2,0),"")</f>
        <v>Browrnie Oreo</v>
      </c>
      <c r="G25" s="175">
        <v>18.0</v>
      </c>
      <c r="H25" s="175">
        <f>IFERROR(IFERROR(VLOOKUP(E25,Bar!$B:$D,3,0),"")*G25,"")</f>
        <v>43719.98333</v>
      </c>
      <c r="I25" s="175">
        <v>4860.0</v>
      </c>
      <c r="J25" s="175">
        <f t="shared" si="2"/>
        <v>-38859.98333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/>
      <c r="B26" s="175">
        <v>3.0</v>
      </c>
      <c r="C26" s="176">
        <f t="shared" si="4"/>
        <v>44641</v>
      </c>
      <c r="D26" s="175">
        <f t="shared" si="1"/>
        <v>3</v>
      </c>
      <c r="E26" s="177">
        <v>11.0</v>
      </c>
      <c r="F26" s="177" t="str">
        <f>IFERROR(VLOOKUP(E26,Bar!$B:$C,2,0),"")</f>
        <v>Macarrons x12</v>
      </c>
      <c r="G26" s="175">
        <v>4.0</v>
      </c>
      <c r="H26" s="175">
        <f>IFERROR(IFERROR(VLOOKUP(E26,Bar!$B:$D,3,0),"")*G26,"")</f>
        <v>7673.5</v>
      </c>
      <c r="I26" s="175">
        <v>2000.0</v>
      </c>
      <c r="J26" s="175">
        <f t="shared" si="2"/>
        <v>-5673.5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/>
      <c r="B27" s="175">
        <v>3.0</v>
      </c>
      <c r="C27" s="176">
        <f t="shared" ref="C27:C30" si="5">IFERROR(IF(B27=B23,C23,""),"")</f>
        <v>44641</v>
      </c>
      <c r="D27" s="175">
        <f t="shared" si="1"/>
        <v>3</v>
      </c>
      <c r="E27" s="177">
        <v>1.0</v>
      </c>
      <c r="F27" s="177" t="str">
        <f>IFERROR(VLOOKUP(E27,Bar!$B:$C,2,0),"")</f>
        <v>Budín Limón</v>
      </c>
      <c r="G27" s="175">
        <v>4.0</v>
      </c>
      <c r="H27" s="175">
        <f>IFERROR(IFERROR(VLOOKUP(E27,Bar!$B:$D,3,0),"")*G27,"")</f>
        <v>22232.26667</v>
      </c>
      <c r="I27" s="175">
        <v>3200.0</v>
      </c>
      <c r="J27" s="175">
        <f t="shared" si="2"/>
        <v>-19032.26667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/>
      <c r="B28" s="175">
        <v>3.0</v>
      </c>
      <c r="C28" s="176">
        <f t="shared" si="5"/>
        <v>44641</v>
      </c>
      <c r="D28" s="175">
        <f t="shared" si="1"/>
        <v>3</v>
      </c>
      <c r="E28" s="177">
        <v>2.0</v>
      </c>
      <c r="F28" s="177" t="str">
        <f>IFERROR(VLOOKUP(E28,Bar!$B:$C,2,0),"")</f>
        <v>Budín zanahoria</v>
      </c>
      <c r="G28" s="175">
        <v>2.0</v>
      </c>
      <c r="H28" s="175">
        <f>IFERROR(IFERROR(VLOOKUP(E28,Bar!$B:$D,3,0),"")*G28,"")</f>
        <v>11116.13333</v>
      </c>
      <c r="I28" s="175">
        <v>1600.0</v>
      </c>
      <c r="J28" s="175">
        <f t="shared" si="2"/>
        <v>-9516.133333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/>
      <c r="B29" s="175">
        <v>3.0</v>
      </c>
      <c r="C29" s="176">
        <f t="shared" si="5"/>
        <v>44641</v>
      </c>
      <c r="D29" s="175">
        <f t="shared" si="1"/>
        <v>3</v>
      </c>
      <c r="E29" s="177">
        <v>3.0</v>
      </c>
      <c r="F29" s="177" t="str">
        <f>IFERROR(VLOOKUP(E29,Bar!$B:$C,2,0),"")</f>
        <v>Budín marmolado</v>
      </c>
      <c r="G29" s="175">
        <v>2.0</v>
      </c>
      <c r="H29" s="175">
        <f>IFERROR(IFERROR(VLOOKUP(E29,Bar!$B:$D,3,0),"")*G29,"")</f>
        <v>11116.13333</v>
      </c>
      <c r="I29" s="175">
        <v>1600.0</v>
      </c>
      <c r="J29" s="175">
        <f t="shared" si="2"/>
        <v>-9516.133333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/>
      <c r="B30" s="178">
        <v>3.0</v>
      </c>
      <c r="C30" s="179">
        <f t="shared" si="5"/>
        <v>44641</v>
      </c>
      <c r="D30" s="178">
        <f t="shared" si="1"/>
        <v>3</v>
      </c>
      <c r="E30" s="180">
        <v>4.0</v>
      </c>
      <c r="F30" s="180" t="str">
        <f>IFERROR(VLOOKUP(E30,Bar!$B:$C,2,0),"")</f>
        <v>Budín frutos secos</v>
      </c>
      <c r="G30" s="178">
        <v>2.0</v>
      </c>
      <c r="H30" s="178">
        <f>IFERROR(IFERROR(VLOOKUP(E30,Bar!$B:$D,3,0),"")*G30,"")</f>
        <v>13209.46667</v>
      </c>
      <c r="I30" s="178">
        <v>1600.0</v>
      </c>
      <c r="J30" s="178">
        <f t="shared" si="2"/>
        <v>-11609.46667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3"/>
      <c r="B31" s="175">
        <v>4.0</v>
      </c>
      <c r="C31" s="176">
        <v>44645.0</v>
      </c>
      <c r="D31" s="175">
        <f t="shared" si="1"/>
        <v>3</v>
      </c>
      <c r="E31" s="177">
        <v>7.0</v>
      </c>
      <c r="F31" s="177" t="str">
        <f>IFERROR(VLOOKUP(E31,Bar!$B:$C,2,0),"")</f>
        <v>Chocotorta</v>
      </c>
      <c r="G31" s="175">
        <v>12.0</v>
      </c>
      <c r="H31" s="175">
        <f>IFERROR(IFERROR(VLOOKUP(E31,Bar!$B:$D,3,0),"")*G31,"")</f>
        <v>33807.14286</v>
      </c>
      <c r="I31" s="175">
        <v>3240.0</v>
      </c>
      <c r="J31" s="175">
        <f t="shared" si="2"/>
        <v>-30567.14286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3"/>
      <c r="B32" s="175">
        <v>4.0</v>
      </c>
      <c r="C32" s="176">
        <f t="shared" ref="C32:C40" si="6">IFERROR(IF(B32=B31,C31,""),"")</f>
        <v>44645</v>
      </c>
      <c r="D32" s="175">
        <f t="shared" si="1"/>
        <v>3</v>
      </c>
      <c r="E32" s="177">
        <v>8.0</v>
      </c>
      <c r="F32" s="177" t="str">
        <f>IFERROR(VLOOKUP(E32,Bar!$B:$C,2,0),"")</f>
        <v>Cheese Cake Frutos rojos</v>
      </c>
      <c r="G32" s="175">
        <v>12.0</v>
      </c>
      <c r="H32" s="175">
        <f>IFERROR(IFERROR(VLOOKUP(E32,Bar!$B:$D,3,0),"")*G32,"")</f>
        <v>30499.86368</v>
      </c>
      <c r="I32" s="175">
        <v>3240.0</v>
      </c>
      <c r="J32" s="175">
        <f t="shared" si="2"/>
        <v>-27259.86368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3"/>
      <c r="B33" s="175">
        <v>4.0</v>
      </c>
      <c r="C33" s="176">
        <f t="shared" si="6"/>
        <v>44645</v>
      </c>
      <c r="D33" s="175">
        <f t="shared" si="1"/>
        <v>3</v>
      </c>
      <c r="E33" s="177">
        <v>6.0</v>
      </c>
      <c r="F33" s="177" t="str">
        <f>IFERROR(VLOOKUP(E33,Bar!$B:$C,2,0),"")</f>
        <v>Browrnie Oreo</v>
      </c>
      <c r="G33" s="175">
        <v>10.0</v>
      </c>
      <c r="H33" s="175">
        <f>IFERROR(IFERROR(VLOOKUP(E33,Bar!$B:$D,3,0),"")*G33,"")</f>
        <v>24288.87963</v>
      </c>
      <c r="I33" s="175">
        <v>2700.0</v>
      </c>
      <c r="J33" s="175">
        <f t="shared" si="2"/>
        <v>-21588.87963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/>
      <c r="B34" s="175">
        <v>4.0</v>
      </c>
      <c r="C34" s="176">
        <f t="shared" si="6"/>
        <v>44645</v>
      </c>
      <c r="D34" s="175">
        <f t="shared" si="1"/>
        <v>3</v>
      </c>
      <c r="E34" s="177">
        <v>10.0</v>
      </c>
      <c r="F34" s="177" t="str">
        <f>IFERROR(VLOOKUP(E34,Bar!$B:$C,2,0),"")</f>
        <v>Apple Crumble</v>
      </c>
      <c r="G34" s="175">
        <v>10.0</v>
      </c>
      <c r="H34" s="175">
        <f>IFERROR(IFERROR(VLOOKUP(E34,Bar!$B:$D,3,0),"")*G34,"")</f>
        <v>11176.86111</v>
      </c>
      <c r="I34" s="175">
        <v>2700.0</v>
      </c>
      <c r="J34" s="175">
        <f t="shared" si="2"/>
        <v>-8476.861111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/>
      <c r="B35" s="175">
        <v>4.0</v>
      </c>
      <c r="C35" s="176">
        <f t="shared" si="6"/>
        <v>44645</v>
      </c>
      <c r="D35" s="175">
        <f t="shared" si="1"/>
        <v>3</v>
      </c>
      <c r="E35" s="177">
        <v>5.0</v>
      </c>
      <c r="F35" s="177" t="str">
        <f>IFERROR(VLOOKUP(E35,Bar!$B:$C,2,0),"")</f>
        <v>Lemon Pie</v>
      </c>
      <c r="G35" s="175">
        <v>6.0</v>
      </c>
      <c r="H35" s="175">
        <f>IFERROR(IFERROR(VLOOKUP(E35,Bar!$B:$D,3,0),"")*G35,"")</f>
        <v>9123.533333</v>
      </c>
      <c r="I35" s="175">
        <v>1620.0</v>
      </c>
      <c r="J35" s="175">
        <f t="shared" si="2"/>
        <v>-7503.533333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3"/>
      <c r="B36" s="175">
        <v>4.0</v>
      </c>
      <c r="C36" s="176">
        <f t="shared" si="6"/>
        <v>44645</v>
      </c>
      <c r="D36" s="175">
        <f t="shared" si="1"/>
        <v>3</v>
      </c>
      <c r="E36" s="177">
        <v>1.0</v>
      </c>
      <c r="F36" s="177" t="str">
        <f>IFERROR(VLOOKUP(E36,Bar!$B:$C,2,0),"")</f>
        <v>Budín Limón</v>
      </c>
      <c r="G36" s="175">
        <v>2.0</v>
      </c>
      <c r="H36" s="175">
        <f>IFERROR(IFERROR(VLOOKUP(E36,Bar!$B:$D,3,0),"")*G36,"")</f>
        <v>11116.13333</v>
      </c>
      <c r="I36" s="175">
        <v>1600.0</v>
      </c>
      <c r="J36" s="175">
        <f t="shared" si="2"/>
        <v>-9516.133333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3"/>
      <c r="B37" s="175">
        <v>4.0</v>
      </c>
      <c r="C37" s="176">
        <f t="shared" si="6"/>
        <v>44645</v>
      </c>
      <c r="D37" s="175">
        <f t="shared" si="1"/>
        <v>3</v>
      </c>
      <c r="E37" s="177">
        <v>2.0</v>
      </c>
      <c r="F37" s="177" t="str">
        <f>IFERROR(VLOOKUP(E37,Bar!$B:$C,2,0),"")</f>
        <v>Budín zanahoria</v>
      </c>
      <c r="G37" s="175">
        <v>2.0</v>
      </c>
      <c r="H37" s="175">
        <f>IFERROR(IFERROR(VLOOKUP(E37,Bar!$B:$D,3,0),"")*G37,"")</f>
        <v>11116.13333</v>
      </c>
      <c r="I37" s="175">
        <v>1600.0</v>
      </c>
      <c r="J37" s="175">
        <f t="shared" si="2"/>
        <v>-9516.133333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/>
      <c r="B38" s="175">
        <v>4.0</v>
      </c>
      <c r="C38" s="176">
        <f t="shared" si="6"/>
        <v>44645</v>
      </c>
      <c r="D38" s="175">
        <f t="shared" si="1"/>
        <v>3</v>
      </c>
      <c r="E38" s="177">
        <v>3.0</v>
      </c>
      <c r="F38" s="177" t="str">
        <f>IFERROR(VLOOKUP(E38,Bar!$B:$C,2,0),"")</f>
        <v>Budín marmolado</v>
      </c>
      <c r="G38" s="175">
        <v>2.0</v>
      </c>
      <c r="H38" s="175">
        <f>IFERROR(IFERROR(VLOOKUP(E38,Bar!$B:$D,3,0),"")*G38,"")</f>
        <v>11116.13333</v>
      </c>
      <c r="I38" s="175">
        <v>1600.0</v>
      </c>
      <c r="J38" s="175">
        <f t="shared" si="2"/>
        <v>-9516.133333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/>
      <c r="B39" s="175">
        <v>4.0</v>
      </c>
      <c r="C39" s="176">
        <f t="shared" si="6"/>
        <v>44645</v>
      </c>
      <c r="D39" s="175">
        <f t="shared" si="1"/>
        <v>3</v>
      </c>
      <c r="E39" s="177">
        <v>4.0</v>
      </c>
      <c r="F39" s="177" t="str">
        <f>IFERROR(VLOOKUP(E39,Bar!$B:$C,2,0),"")</f>
        <v>Budín frutos secos</v>
      </c>
      <c r="G39" s="175">
        <v>2.0</v>
      </c>
      <c r="H39" s="175">
        <f>IFERROR(IFERROR(VLOOKUP(E39,Bar!$B:$D,3,0),"")*G39,"")</f>
        <v>13209.46667</v>
      </c>
      <c r="I39" s="175">
        <v>1600.0</v>
      </c>
      <c r="J39" s="175">
        <f t="shared" si="2"/>
        <v>-11609.46667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/>
      <c r="B40" s="178">
        <v>4.0</v>
      </c>
      <c r="C40" s="179">
        <f t="shared" si="6"/>
        <v>44645</v>
      </c>
      <c r="D40" s="178">
        <f t="shared" si="1"/>
        <v>3</v>
      </c>
      <c r="E40" s="180">
        <v>11.0</v>
      </c>
      <c r="F40" s="180" t="str">
        <f>IFERROR(VLOOKUP(E40,Bar!$B:$C,2,0),"")</f>
        <v>Macarrons x12</v>
      </c>
      <c r="G40" s="178">
        <v>2.0</v>
      </c>
      <c r="H40" s="178">
        <f>IFERROR(IFERROR(VLOOKUP(E40,Bar!$B:$D,3,0),"")*G40,"")</f>
        <v>3836.75</v>
      </c>
      <c r="I40" s="178">
        <v>1000.0</v>
      </c>
      <c r="J40" s="178">
        <f t="shared" si="2"/>
        <v>-2836.75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/>
      <c r="B41" s="175">
        <f>B40+1</f>
        <v>5</v>
      </c>
      <c r="C41" s="176">
        <v>44649.0</v>
      </c>
      <c r="D41" s="175">
        <f t="shared" si="1"/>
        <v>3</v>
      </c>
      <c r="E41" s="177">
        <v>8.0</v>
      </c>
      <c r="F41" s="177" t="str">
        <f>IFERROR(VLOOKUP(E41,Bar!$B:$C,2,0),"")</f>
        <v>Cheese Cake Frutos rojos</v>
      </c>
      <c r="G41" s="175">
        <v>18.0</v>
      </c>
      <c r="H41" s="175">
        <f>IFERROR(IFERROR(VLOOKUP(E41,Bar!$B:$D,3,0),"")*G41,"")</f>
        <v>45749.79552</v>
      </c>
      <c r="I41" s="175">
        <v>4860.0</v>
      </c>
      <c r="J41" s="175">
        <f t="shared" si="2"/>
        <v>-40889.79552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3"/>
      <c r="B42" s="175">
        <v>5.0</v>
      </c>
      <c r="C42" s="176">
        <f t="shared" ref="C42:C50" si="7">IFERROR(IF(B42=B41,C41,""),"")</f>
        <v>44649</v>
      </c>
      <c r="D42" s="175">
        <f t="shared" si="1"/>
        <v>3</v>
      </c>
      <c r="E42" s="177">
        <v>5.0</v>
      </c>
      <c r="F42" s="177" t="str">
        <f>IFERROR(VLOOKUP(E42,Bar!$B:$C,2,0),"")</f>
        <v>Lemon Pie</v>
      </c>
      <c r="G42" s="175">
        <v>12.0</v>
      </c>
      <c r="H42" s="175">
        <f>IFERROR(IFERROR(VLOOKUP(E42,Bar!$B:$D,3,0),"")*G42,"")</f>
        <v>18247.06667</v>
      </c>
      <c r="I42" s="175">
        <v>3240.0</v>
      </c>
      <c r="J42" s="175">
        <f t="shared" si="2"/>
        <v>-15007.06667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3"/>
      <c r="B43" s="175">
        <v>5.0</v>
      </c>
      <c r="C43" s="176">
        <f t="shared" si="7"/>
        <v>44649</v>
      </c>
      <c r="D43" s="175">
        <f t="shared" si="1"/>
        <v>3</v>
      </c>
      <c r="E43" s="177">
        <v>7.0</v>
      </c>
      <c r="F43" s="177" t="str">
        <f>IFERROR(VLOOKUP(E43,Bar!$B:$C,2,0),"")</f>
        <v>Chocotorta</v>
      </c>
      <c r="G43" s="175">
        <v>12.0</v>
      </c>
      <c r="H43" s="175">
        <f>IFERROR(IFERROR(VLOOKUP(E43,Bar!$B:$D,3,0),"")*G43,"")</f>
        <v>33807.14286</v>
      </c>
      <c r="I43" s="175">
        <v>3240.0</v>
      </c>
      <c r="J43" s="175">
        <f t="shared" si="2"/>
        <v>-30567.14286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3"/>
      <c r="B44" s="175">
        <v>5.0</v>
      </c>
      <c r="C44" s="176">
        <f t="shared" si="7"/>
        <v>44649</v>
      </c>
      <c r="D44" s="175">
        <f t="shared" si="1"/>
        <v>3</v>
      </c>
      <c r="E44" s="177">
        <v>10.0</v>
      </c>
      <c r="F44" s="177" t="str">
        <f>IFERROR(VLOOKUP(E44,Bar!$B:$C,2,0),"")</f>
        <v>Apple Crumble</v>
      </c>
      <c r="G44" s="175">
        <v>12.0</v>
      </c>
      <c r="H44" s="175">
        <f>IFERROR(IFERROR(VLOOKUP(E44,Bar!$B:$D,3,0),"")*G44,"")</f>
        <v>13412.23333</v>
      </c>
      <c r="I44" s="175">
        <v>3240.0</v>
      </c>
      <c r="J44" s="175">
        <f t="shared" si="2"/>
        <v>-10172.23333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3"/>
      <c r="B45" s="175">
        <v>5.0</v>
      </c>
      <c r="C45" s="176">
        <f t="shared" si="7"/>
        <v>44649</v>
      </c>
      <c r="D45" s="175">
        <f t="shared" si="1"/>
        <v>3</v>
      </c>
      <c r="E45" s="177">
        <v>9.0</v>
      </c>
      <c r="F45" s="177" t="str">
        <f>IFERROR(VLOOKUP(E45,Bar!$B:$C,2,0),"")</f>
        <v>Torta Oreo</v>
      </c>
      <c r="G45" s="175">
        <v>24.0</v>
      </c>
      <c r="H45" s="175">
        <f>IFERROR(IFERROR(VLOOKUP(E45,Bar!$B:$D,3,0),"")*G45,"")</f>
        <v>71660</v>
      </c>
      <c r="I45" s="175">
        <v>6480.0</v>
      </c>
      <c r="J45" s="175">
        <f t="shared" si="2"/>
        <v>-65180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3"/>
      <c r="B46" s="175">
        <v>5.0</v>
      </c>
      <c r="C46" s="176">
        <f t="shared" si="7"/>
        <v>44649</v>
      </c>
      <c r="D46" s="175">
        <f t="shared" si="1"/>
        <v>3</v>
      </c>
      <c r="E46" s="177">
        <v>11.0</v>
      </c>
      <c r="F46" s="177" t="str">
        <f>IFERROR(VLOOKUP(E46,Bar!$B:$C,2,0),"")</f>
        <v>Macarrons x12</v>
      </c>
      <c r="G46" s="175">
        <v>4.0</v>
      </c>
      <c r="H46" s="175">
        <f>IFERROR(IFERROR(VLOOKUP(E46,Bar!$B:$D,3,0),"")*G46,"")</f>
        <v>7673.5</v>
      </c>
      <c r="I46" s="175">
        <v>2000.0</v>
      </c>
      <c r="J46" s="175">
        <f t="shared" si="2"/>
        <v>-5673.5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3"/>
      <c r="B47" s="175">
        <v>5.0</v>
      </c>
      <c r="C47" s="176">
        <f t="shared" si="7"/>
        <v>44649</v>
      </c>
      <c r="D47" s="175">
        <f t="shared" si="1"/>
        <v>3</v>
      </c>
      <c r="E47" s="177">
        <v>1.0</v>
      </c>
      <c r="F47" s="177" t="s">
        <v>758</v>
      </c>
      <c r="G47" s="175">
        <v>2.0</v>
      </c>
      <c r="H47" s="175">
        <f>IFERROR(IFERROR(VLOOKUP(E47,Bar!$B:$D,3,0),"")*G47,"")</f>
        <v>11116.13333</v>
      </c>
      <c r="I47" s="175">
        <v>1600.0</v>
      </c>
      <c r="J47" s="175">
        <f t="shared" si="2"/>
        <v>-9516.133333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3"/>
      <c r="B48" s="175">
        <v>5.0</v>
      </c>
      <c r="C48" s="176">
        <f t="shared" si="7"/>
        <v>44649</v>
      </c>
      <c r="D48" s="175">
        <f t="shared" si="1"/>
        <v>3</v>
      </c>
      <c r="E48" s="177">
        <v>2.0</v>
      </c>
      <c r="F48" s="177" t="s">
        <v>759</v>
      </c>
      <c r="G48" s="175">
        <v>2.0</v>
      </c>
      <c r="H48" s="175">
        <f>IFERROR(IFERROR(VLOOKUP(E48,Bar!$B:$D,3,0),"")*G48,"")</f>
        <v>11116.13333</v>
      </c>
      <c r="I48" s="175">
        <v>1600.0</v>
      </c>
      <c r="J48" s="175">
        <f t="shared" si="2"/>
        <v>-9516.133333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3"/>
      <c r="B49" s="175">
        <v>5.0</v>
      </c>
      <c r="C49" s="176">
        <f t="shared" si="7"/>
        <v>44649</v>
      </c>
      <c r="D49" s="175">
        <f t="shared" si="1"/>
        <v>3</v>
      </c>
      <c r="E49" s="177">
        <v>3.0</v>
      </c>
      <c r="F49" s="177" t="s">
        <v>760</v>
      </c>
      <c r="G49" s="175">
        <v>2.0</v>
      </c>
      <c r="H49" s="175">
        <f>IFERROR(IFERROR(VLOOKUP(E49,Bar!$B:$D,3,0),"")*G49,"")</f>
        <v>11116.13333</v>
      </c>
      <c r="I49" s="175">
        <v>1600.0</v>
      </c>
      <c r="J49" s="175">
        <f t="shared" si="2"/>
        <v>-9516.133333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/>
      <c r="B50" s="178">
        <v>5.0</v>
      </c>
      <c r="C50" s="179">
        <f t="shared" si="7"/>
        <v>44649</v>
      </c>
      <c r="D50" s="178">
        <f t="shared" si="1"/>
        <v>3</v>
      </c>
      <c r="E50" s="180">
        <v>4.0</v>
      </c>
      <c r="F50" s="180" t="s">
        <v>761</v>
      </c>
      <c r="G50" s="178">
        <v>2.0</v>
      </c>
      <c r="H50" s="178">
        <f>IFERROR(IFERROR(VLOOKUP(E50,Bar!$B:$D,3,0),"")*G50,"")</f>
        <v>13209.46667</v>
      </c>
      <c r="I50" s="178">
        <v>1600.0</v>
      </c>
      <c r="J50" s="178">
        <f t="shared" si="2"/>
        <v>-11609.46667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/>
      <c r="B51" s="175">
        <f>IF(E51="","",B50+1)</f>
        <v>6</v>
      </c>
      <c r="C51" s="176">
        <v>44653.0</v>
      </c>
      <c r="D51" s="175">
        <f t="shared" si="1"/>
        <v>4</v>
      </c>
      <c r="E51" s="177">
        <v>8.0</v>
      </c>
      <c r="F51" s="177" t="str">
        <f>IFERROR(VLOOKUP(E51,Bar!$B:$C,2,0),"")</f>
        <v>Cheese Cake Frutos rojos</v>
      </c>
      <c r="G51" s="175">
        <v>17.0</v>
      </c>
      <c r="H51" s="175">
        <f>IFERROR(IFERROR(VLOOKUP(E51,Bar!$B:$D,3,0),"")*G51,"")</f>
        <v>43208.14021</v>
      </c>
      <c r="I51" s="175">
        <v>4590.0</v>
      </c>
      <c r="J51" s="175">
        <f t="shared" si="2"/>
        <v>-38618.14021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/>
      <c r="B52" s="175">
        <v>6.0</v>
      </c>
      <c r="C52" s="176">
        <f t="shared" ref="C52:C59" si="8">IFERROR(IF(B52=B51,C51,""),"")</f>
        <v>44653</v>
      </c>
      <c r="D52" s="175">
        <f t="shared" si="1"/>
        <v>4</v>
      </c>
      <c r="E52" s="177">
        <v>5.0</v>
      </c>
      <c r="F52" s="177" t="str">
        <f>IFERROR(VLOOKUP(E52,Bar!$B:$C,2,0),"")</f>
        <v>Lemon Pie</v>
      </c>
      <c r="G52" s="175">
        <v>12.0</v>
      </c>
      <c r="H52" s="175">
        <f>IFERROR(IFERROR(VLOOKUP(E52,Bar!$B:$D,3,0),"")*G52,"")</f>
        <v>18247.06667</v>
      </c>
      <c r="I52" s="175">
        <v>3240.0</v>
      </c>
      <c r="J52" s="175">
        <f t="shared" si="2"/>
        <v>-15007.06667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/>
      <c r="B53" s="175">
        <v>6.0</v>
      </c>
      <c r="C53" s="176">
        <f t="shared" si="8"/>
        <v>44653</v>
      </c>
      <c r="D53" s="175">
        <f t="shared" si="1"/>
        <v>4</v>
      </c>
      <c r="E53" s="177">
        <v>10.0</v>
      </c>
      <c r="F53" s="177" t="str">
        <f>IFERROR(VLOOKUP(E53,Bar!$B:$C,2,0),"")</f>
        <v>Apple Crumble</v>
      </c>
      <c r="G53" s="175">
        <v>12.0</v>
      </c>
      <c r="H53" s="175">
        <f>IFERROR(IFERROR(VLOOKUP(E53,Bar!$B:$D,3,0),"")*G53,"")</f>
        <v>13412.23333</v>
      </c>
      <c r="I53" s="175">
        <v>3240.0</v>
      </c>
      <c r="J53" s="175">
        <f t="shared" si="2"/>
        <v>-10172.23333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3"/>
      <c r="B54" s="175">
        <v>6.0</v>
      </c>
      <c r="C54" s="176">
        <f t="shared" si="8"/>
        <v>44653</v>
      </c>
      <c r="D54" s="175">
        <f t="shared" si="1"/>
        <v>4</v>
      </c>
      <c r="E54" s="177">
        <v>9.0</v>
      </c>
      <c r="F54" s="177" t="str">
        <f>IFERROR(VLOOKUP(E54,Bar!$B:$C,2,0),"")</f>
        <v>Torta Oreo</v>
      </c>
      <c r="G54" s="175">
        <v>12.0</v>
      </c>
      <c r="H54" s="175">
        <f>IFERROR(IFERROR(VLOOKUP(E54,Bar!$B:$D,3,0),"")*G54,"")</f>
        <v>35830</v>
      </c>
      <c r="I54" s="175">
        <v>3240.0</v>
      </c>
      <c r="J54" s="175">
        <f t="shared" si="2"/>
        <v>-32590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/>
      <c r="B55" s="175">
        <v>6.0</v>
      </c>
      <c r="C55" s="176">
        <f t="shared" si="8"/>
        <v>44653</v>
      </c>
      <c r="D55" s="175">
        <f t="shared" si="1"/>
        <v>4</v>
      </c>
      <c r="E55" s="177">
        <v>11.0</v>
      </c>
      <c r="F55" s="177" t="str">
        <f>IFERROR(VLOOKUP(E55,Bar!$B:$C,2,0),"")</f>
        <v>Macarrons x12</v>
      </c>
      <c r="G55" s="175">
        <v>4.0</v>
      </c>
      <c r="H55" s="175">
        <f>IFERROR(IFERROR(VLOOKUP(E55,Bar!$B:$D,3,0),"")*G55,"")</f>
        <v>7673.5</v>
      </c>
      <c r="I55" s="175">
        <v>2000.0</v>
      </c>
      <c r="J55" s="175">
        <f t="shared" si="2"/>
        <v>-5673.5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3"/>
      <c r="B56" s="175">
        <v>6.0</v>
      </c>
      <c r="C56" s="176">
        <f t="shared" si="8"/>
        <v>44653</v>
      </c>
      <c r="D56" s="175">
        <f t="shared" si="1"/>
        <v>4</v>
      </c>
      <c r="E56" s="177">
        <v>1.0</v>
      </c>
      <c r="F56" s="177" t="str">
        <f>IFERROR(VLOOKUP(E56,Bar!$B:$C,2,0),"")</f>
        <v>Budín Limón</v>
      </c>
      <c r="G56" s="175">
        <v>2.0</v>
      </c>
      <c r="H56" s="175">
        <f>IFERROR(IFERROR(VLOOKUP(E56,Bar!$B:$D,3,0),"")*G56,"")</f>
        <v>11116.13333</v>
      </c>
      <c r="I56" s="175">
        <v>1600.0</v>
      </c>
      <c r="J56" s="175">
        <f t="shared" si="2"/>
        <v>-9516.133333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3"/>
      <c r="B57" s="175">
        <v>6.0</v>
      </c>
      <c r="C57" s="176">
        <f t="shared" si="8"/>
        <v>44653</v>
      </c>
      <c r="D57" s="175">
        <f t="shared" si="1"/>
        <v>4</v>
      </c>
      <c r="E57" s="177">
        <v>2.0</v>
      </c>
      <c r="F57" s="177" t="str">
        <f>IFERROR(VLOOKUP(E57,Bar!$B:$C,2,0),"")</f>
        <v>Budín zanahoria</v>
      </c>
      <c r="G57" s="175">
        <v>2.0</v>
      </c>
      <c r="H57" s="175">
        <f>IFERROR(IFERROR(VLOOKUP(E57,Bar!$B:$D,3,0),"")*G57,"")</f>
        <v>11116.13333</v>
      </c>
      <c r="I57" s="175">
        <v>1600.0</v>
      </c>
      <c r="J57" s="175">
        <f t="shared" si="2"/>
        <v>-9516.133333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3"/>
      <c r="B58" s="175">
        <v>6.0</v>
      </c>
      <c r="C58" s="176">
        <f t="shared" si="8"/>
        <v>44653</v>
      </c>
      <c r="D58" s="175">
        <f t="shared" si="1"/>
        <v>4</v>
      </c>
      <c r="E58" s="177">
        <v>4.0</v>
      </c>
      <c r="F58" s="177" t="str">
        <f>IFERROR(VLOOKUP(E58,Bar!$B:$C,2,0),"")</f>
        <v>Budín frutos secos</v>
      </c>
      <c r="G58" s="175">
        <v>2.0</v>
      </c>
      <c r="H58" s="175">
        <f>IFERROR(IFERROR(VLOOKUP(E58,Bar!$B:$D,3,0),"")*G58,"")</f>
        <v>13209.46667</v>
      </c>
      <c r="I58" s="175">
        <v>1600.0</v>
      </c>
      <c r="J58" s="175">
        <f t="shared" si="2"/>
        <v>-11609.46667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3"/>
      <c r="B59" s="178">
        <v>6.0</v>
      </c>
      <c r="C59" s="179">
        <f t="shared" si="8"/>
        <v>44653</v>
      </c>
      <c r="D59" s="178">
        <f t="shared" si="1"/>
        <v>4</v>
      </c>
      <c r="E59" s="180">
        <v>7.0</v>
      </c>
      <c r="F59" s="180" t="str">
        <f>IFERROR(VLOOKUP(E59,Bar!$B:$C,2,0),"")</f>
        <v>Chocotorta</v>
      </c>
      <c r="G59" s="178">
        <v>17.0</v>
      </c>
      <c r="H59" s="178">
        <f>IFERROR(IFERROR(VLOOKUP(E59,Bar!$B:$D,3,0),"")*G59,"")</f>
        <v>47893.45238</v>
      </c>
      <c r="I59" s="178">
        <v>4590.0</v>
      </c>
      <c r="J59" s="178">
        <f t="shared" si="2"/>
        <v>-43303.45238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3"/>
      <c r="B60" s="175">
        <v>7.0</v>
      </c>
      <c r="C60" s="176">
        <v>44671.0</v>
      </c>
      <c r="D60" s="175">
        <f t="shared" si="1"/>
        <v>4</v>
      </c>
      <c r="E60" s="177">
        <v>8.0</v>
      </c>
      <c r="F60" s="177" t="str">
        <f>IFERROR(VLOOKUP(E60,Bar!$B:$C,2,0),"")</f>
        <v>Cheese Cake Frutos rojos</v>
      </c>
      <c r="G60" s="175">
        <v>18.0</v>
      </c>
      <c r="H60" s="175">
        <f>IFERROR(IFERROR(VLOOKUP(E60,Bar!$B:$D,3,0),"")*G60,"")</f>
        <v>45749.79552</v>
      </c>
      <c r="I60" s="175">
        <v>4860.0</v>
      </c>
      <c r="J60" s="175">
        <f t="shared" si="2"/>
        <v>-40889.79552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3"/>
      <c r="B61" s="175">
        <v>7.0</v>
      </c>
      <c r="C61" s="176">
        <v>44671.0</v>
      </c>
      <c r="D61" s="175">
        <f t="shared" si="1"/>
        <v>4</v>
      </c>
      <c r="E61" s="177">
        <v>5.0</v>
      </c>
      <c r="F61" s="177" t="str">
        <f>IFERROR(VLOOKUP(E61,Bar!$B:$C,2,0),"")</f>
        <v>Lemon Pie</v>
      </c>
      <c r="G61" s="175">
        <v>18.0</v>
      </c>
      <c r="H61" s="175">
        <f>IFERROR(IFERROR(VLOOKUP(E61,Bar!$B:$D,3,0),"")*G61,"")</f>
        <v>27370.6</v>
      </c>
      <c r="I61" s="175">
        <v>4860.0</v>
      </c>
      <c r="J61" s="175">
        <f t="shared" si="2"/>
        <v>-22510.6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3"/>
      <c r="B62" s="175">
        <v>7.0</v>
      </c>
      <c r="C62" s="176">
        <v>44671.0</v>
      </c>
      <c r="D62" s="175">
        <v>4.0</v>
      </c>
      <c r="E62" s="177">
        <v>7.0</v>
      </c>
      <c r="F62" s="177" t="str">
        <f>IFERROR(VLOOKUP(E62,Bar!$B:$C,2,0),"")</f>
        <v>Chocotorta</v>
      </c>
      <c r="G62" s="175">
        <v>18.0</v>
      </c>
      <c r="H62" s="175">
        <f>IFERROR(IFERROR(VLOOKUP(E62,Bar!$B:$D,3,0),"")*G62,"")</f>
        <v>50710.71429</v>
      </c>
      <c r="I62" s="175">
        <v>4860.0</v>
      </c>
      <c r="J62" s="175">
        <f t="shared" si="2"/>
        <v>-45850.71429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3"/>
      <c r="B63" s="175">
        <v>7.0</v>
      </c>
      <c r="C63" s="176">
        <v>44671.0</v>
      </c>
      <c r="D63" s="175">
        <f t="shared" ref="D63:D77" si="9">IFERROR(MONTH(C63),"")</f>
        <v>4</v>
      </c>
      <c r="E63" s="177">
        <v>9.0</v>
      </c>
      <c r="F63" s="177" t="str">
        <f>IFERROR(VLOOKUP(E63,Bar!$B:$C,2,0),"")</f>
        <v>Torta Oreo</v>
      </c>
      <c r="G63" s="175">
        <v>18.0</v>
      </c>
      <c r="H63" s="175">
        <f>IFERROR(IFERROR(VLOOKUP(E63,Bar!$B:$D,3,0),"")*G63,"")</f>
        <v>53745</v>
      </c>
      <c r="I63" s="175">
        <v>4860.0</v>
      </c>
      <c r="J63" s="175">
        <f t="shared" si="2"/>
        <v>-48885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3"/>
      <c r="B64" s="175">
        <v>7.0</v>
      </c>
      <c r="C64" s="176">
        <v>44671.0</v>
      </c>
      <c r="D64" s="175">
        <f t="shared" si="9"/>
        <v>4</v>
      </c>
      <c r="E64" s="177">
        <v>6.0</v>
      </c>
      <c r="F64" s="177" t="str">
        <f>IFERROR(VLOOKUP(E64,Bar!$B:$C,2,0),"")</f>
        <v>Browrnie Oreo</v>
      </c>
      <c r="G64" s="175">
        <v>18.0</v>
      </c>
      <c r="H64" s="175">
        <f>IFERROR(IFERROR(VLOOKUP(E64,Bar!$B:$D,3,0),"")*G64,"")</f>
        <v>43719.98333</v>
      </c>
      <c r="I64" s="175">
        <v>4860.0</v>
      </c>
      <c r="J64" s="175">
        <f t="shared" si="2"/>
        <v>-38859.98333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3"/>
      <c r="B65" s="175">
        <v>7.0</v>
      </c>
      <c r="C65" s="176">
        <v>44671.0</v>
      </c>
      <c r="D65" s="175">
        <f t="shared" si="9"/>
        <v>4</v>
      </c>
      <c r="E65" s="177">
        <v>1.0</v>
      </c>
      <c r="F65" s="177" t="str">
        <f>IFERROR(VLOOKUP(E65,Bar!$B:$C,2,0),"")</f>
        <v>Budín Limón</v>
      </c>
      <c r="G65" s="175">
        <v>2.0</v>
      </c>
      <c r="H65" s="175">
        <f>IFERROR(IFERROR(VLOOKUP(E65,Bar!$B:$D,3,0),"")*G65,"")</f>
        <v>11116.13333</v>
      </c>
      <c r="I65" s="175">
        <v>1600.0</v>
      </c>
      <c r="J65" s="175">
        <f t="shared" si="2"/>
        <v>-9516.133333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3"/>
      <c r="B66" s="175">
        <v>7.0</v>
      </c>
      <c r="C66" s="176">
        <v>44671.0</v>
      </c>
      <c r="D66" s="175">
        <f t="shared" si="9"/>
        <v>4</v>
      </c>
      <c r="E66" s="177">
        <v>2.0</v>
      </c>
      <c r="F66" s="177" t="str">
        <f>IFERROR(VLOOKUP(E66,Bar!$B:$C,2,0),"")</f>
        <v>Budín zanahoria</v>
      </c>
      <c r="G66" s="175">
        <v>2.0</v>
      </c>
      <c r="H66" s="175">
        <f>IFERROR(IFERROR(VLOOKUP(E66,Bar!$B:$D,3,0),"")*G66,"")</f>
        <v>11116.13333</v>
      </c>
      <c r="I66" s="175">
        <v>1600.0</v>
      </c>
      <c r="J66" s="175">
        <f t="shared" si="2"/>
        <v>-9516.133333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3"/>
      <c r="B67" s="175">
        <v>7.0</v>
      </c>
      <c r="C67" s="176">
        <v>44671.0</v>
      </c>
      <c r="D67" s="175">
        <f t="shared" si="9"/>
        <v>4</v>
      </c>
      <c r="E67" s="177">
        <v>4.0</v>
      </c>
      <c r="F67" s="177" t="str">
        <f>IFERROR(VLOOKUP(E67,Bar!$B:$C,2,0),"")</f>
        <v>Budín frutos secos</v>
      </c>
      <c r="G67" s="175">
        <v>2.0</v>
      </c>
      <c r="H67" s="175">
        <f>IFERROR(IFERROR(VLOOKUP(E67,Bar!$B:$D,3,0),"")*G67,"")</f>
        <v>13209.46667</v>
      </c>
      <c r="I67" s="175">
        <v>1600.0</v>
      </c>
      <c r="J67" s="175">
        <f t="shared" si="2"/>
        <v>-11609.46667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3"/>
      <c r="B68" s="178">
        <v>7.0</v>
      </c>
      <c r="C68" s="179">
        <v>44671.0</v>
      </c>
      <c r="D68" s="178">
        <f t="shared" si="9"/>
        <v>4</v>
      </c>
      <c r="E68" s="180">
        <v>3.0</v>
      </c>
      <c r="F68" s="180" t="str">
        <f>IFERROR(VLOOKUP(E68,Bar!$B:$C,2,0),"")</f>
        <v>Budín marmolado</v>
      </c>
      <c r="G68" s="178">
        <v>2.0</v>
      </c>
      <c r="H68" s="178">
        <f>IFERROR(IFERROR(VLOOKUP(E68,Bar!$B:$D,3,0),"")*G68,"")</f>
        <v>11116.13333</v>
      </c>
      <c r="I68" s="178">
        <v>1600.0</v>
      </c>
      <c r="J68" s="178">
        <f t="shared" si="2"/>
        <v>-9516.133333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3"/>
      <c r="B69" s="175">
        <v>8.0</v>
      </c>
      <c r="C69" s="176">
        <v>44678.0</v>
      </c>
      <c r="D69" s="175">
        <f t="shared" si="9"/>
        <v>4</v>
      </c>
      <c r="E69" s="177">
        <v>8.0</v>
      </c>
      <c r="F69" s="177" t="str">
        <f>IFERROR(VLOOKUP(E69,Bar!$B:$C,2,0),"")</f>
        <v>Cheese Cake Frutos rojos</v>
      </c>
      <c r="G69" s="175">
        <v>18.0</v>
      </c>
      <c r="H69" s="175">
        <f>IFERROR(IFERROR(VLOOKUP(E69,Bar!$B:$D,3,0),"")*G69,"")</f>
        <v>45749.79552</v>
      </c>
      <c r="I69" s="175">
        <v>4860.0</v>
      </c>
      <c r="J69" s="175">
        <f t="shared" si="2"/>
        <v>-40889.79552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3"/>
      <c r="B70" s="175">
        <v>8.0</v>
      </c>
      <c r="C70" s="176">
        <f t="shared" ref="C70:C75" si="10">IFERROR(IF(B70=B69,C69,""),"")</f>
        <v>44678</v>
      </c>
      <c r="D70" s="175">
        <f t="shared" si="9"/>
        <v>4</v>
      </c>
      <c r="E70" s="177">
        <v>6.0</v>
      </c>
      <c r="F70" s="177" t="str">
        <f>IFERROR(VLOOKUP(E70,Bar!$B:$C,2,0),"")</f>
        <v>Browrnie Oreo</v>
      </c>
      <c r="G70" s="175">
        <v>18.0</v>
      </c>
      <c r="H70" s="175">
        <f>IFERROR(IFERROR(VLOOKUP(E70,Bar!$B:$D,3,0),"")*G70,"")</f>
        <v>43719.98333</v>
      </c>
      <c r="I70" s="175">
        <v>4860.0</v>
      </c>
      <c r="J70" s="175">
        <f t="shared" si="2"/>
        <v>-38859.98333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3"/>
      <c r="B71" s="175">
        <v>8.0</v>
      </c>
      <c r="C71" s="176">
        <f t="shared" si="10"/>
        <v>44678</v>
      </c>
      <c r="D71" s="175">
        <f t="shared" si="9"/>
        <v>4</v>
      </c>
      <c r="E71" s="177">
        <v>7.0</v>
      </c>
      <c r="F71" s="177" t="str">
        <f>IFERROR(VLOOKUP(E71,Bar!$B:$C,2,0),"")</f>
        <v>Chocotorta</v>
      </c>
      <c r="G71" s="175">
        <v>18.0</v>
      </c>
      <c r="H71" s="175">
        <f>IFERROR(IFERROR(VLOOKUP(E71,Bar!$B:$D,3,0),"")*G71,"")</f>
        <v>50710.71429</v>
      </c>
      <c r="I71" s="175">
        <v>4860.0</v>
      </c>
      <c r="J71" s="175">
        <f t="shared" si="2"/>
        <v>-45850.71429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3"/>
      <c r="B72" s="175">
        <v>8.0</v>
      </c>
      <c r="C72" s="176">
        <f t="shared" si="10"/>
        <v>44678</v>
      </c>
      <c r="D72" s="175">
        <f t="shared" si="9"/>
        <v>4</v>
      </c>
      <c r="E72" s="177">
        <v>9.0</v>
      </c>
      <c r="F72" s="177" t="str">
        <f>IFERROR(VLOOKUP(E72,Bar!$B:$C,2,0),"")</f>
        <v>Torta Oreo</v>
      </c>
      <c r="G72" s="175">
        <v>18.0</v>
      </c>
      <c r="H72" s="175">
        <f>IFERROR(IFERROR(VLOOKUP(E72,Bar!$B:$D,3,0),"")*G72,"")</f>
        <v>53745</v>
      </c>
      <c r="I72" s="175">
        <v>4860.0</v>
      </c>
      <c r="J72" s="175">
        <f t="shared" si="2"/>
        <v>-48885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3"/>
      <c r="B73" s="175">
        <v>8.0</v>
      </c>
      <c r="C73" s="176">
        <f t="shared" si="10"/>
        <v>44678</v>
      </c>
      <c r="D73" s="175">
        <f t="shared" si="9"/>
        <v>4</v>
      </c>
      <c r="E73" s="177">
        <v>10.0</v>
      </c>
      <c r="F73" s="177" t="str">
        <f>IFERROR(VLOOKUP(E73,Bar!$B:$C,2,0),"")</f>
        <v>Apple Crumble</v>
      </c>
      <c r="G73" s="175">
        <v>12.0</v>
      </c>
      <c r="H73" s="175">
        <f>IFERROR(IFERROR(VLOOKUP(E73,Bar!$B:$D,3,0),"")*G73,"")</f>
        <v>13412.23333</v>
      </c>
      <c r="I73" s="175">
        <v>3240.0</v>
      </c>
      <c r="J73" s="175">
        <f t="shared" si="2"/>
        <v>-10172.23333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3"/>
      <c r="B74" s="175">
        <v>8.0</v>
      </c>
      <c r="C74" s="176">
        <f t="shared" si="10"/>
        <v>44678</v>
      </c>
      <c r="D74" s="175">
        <f t="shared" si="9"/>
        <v>4</v>
      </c>
      <c r="E74" s="177">
        <v>5.0</v>
      </c>
      <c r="F74" s="177" t="str">
        <f>IFERROR(VLOOKUP(E74,Bar!$B:$C,2,0),"")</f>
        <v>Lemon Pie</v>
      </c>
      <c r="G74" s="175">
        <v>12.0</v>
      </c>
      <c r="H74" s="175">
        <f>IFERROR(IFERROR(VLOOKUP(E74,Bar!$B:$D,3,0),"")*G74,"")</f>
        <v>18247.06667</v>
      </c>
      <c r="I74" s="175">
        <v>3240.0</v>
      </c>
      <c r="J74" s="175">
        <f t="shared" si="2"/>
        <v>-15007.06667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3"/>
      <c r="B75" s="178">
        <v>8.0</v>
      </c>
      <c r="C75" s="179">
        <f t="shared" si="10"/>
        <v>44678</v>
      </c>
      <c r="D75" s="178">
        <f t="shared" si="9"/>
        <v>4</v>
      </c>
      <c r="E75" s="180"/>
      <c r="F75" s="180" t="str">
        <f>IFERROR(VLOOKUP(E75,Bar!$B:$C,2,0),"")</f>
        <v/>
      </c>
      <c r="G75" s="178"/>
      <c r="H75" s="178">
        <f>IFERROR(IFERROR(VLOOKUP(E75,Bar!$B:$D,3,0),"")*G75,"")</f>
        <v>0</v>
      </c>
      <c r="I75" s="178" t="s">
        <v>788</v>
      </c>
      <c r="J75" s="178">
        <f t="shared" si="2"/>
        <v>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3"/>
      <c r="B76" s="175">
        <f>IF(E76="","",B75+1)</f>
        <v>9</v>
      </c>
      <c r="C76" s="176">
        <v>44685.0</v>
      </c>
      <c r="D76" s="175">
        <f t="shared" si="9"/>
        <v>5</v>
      </c>
      <c r="E76" s="177">
        <v>8.0</v>
      </c>
      <c r="F76" s="177" t="str">
        <f>IFERROR(VLOOKUP(E76,Bar!$B:$C,2,0),"")</f>
        <v>Cheese Cake Frutos rojos</v>
      </c>
      <c r="G76" s="175">
        <v>17.0</v>
      </c>
      <c r="H76" s="175">
        <f>IFERROR(IFERROR(VLOOKUP(E76,Bar!$B:$D,3,0),"")*G76,"")</f>
        <v>43208.14021</v>
      </c>
      <c r="I76" s="175">
        <v>4590.0</v>
      </c>
      <c r="J76" s="175">
        <f t="shared" si="2"/>
        <v>-38618.14021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3"/>
      <c r="B77" s="175">
        <v>9.0</v>
      </c>
      <c r="C77" s="176">
        <v>44685.0</v>
      </c>
      <c r="D77" s="175">
        <f t="shared" si="9"/>
        <v>5</v>
      </c>
      <c r="E77" s="177">
        <v>5.0</v>
      </c>
      <c r="F77" s="177" t="str">
        <f>IFERROR(VLOOKUP(E77,Bar!$B:$C,2,0),"")</f>
        <v>Lemon Pie</v>
      </c>
      <c r="G77" s="175">
        <v>17.0</v>
      </c>
      <c r="H77" s="175">
        <f>IFERROR(IFERROR(VLOOKUP(E77,Bar!$B:$D,3,0),"")*G77,"")</f>
        <v>25850.01111</v>
      </c>
      <c r="I77" s="175">
        <v>4590.0</v>
      </c>
      <c r="J77" s="175">
        <f t="shared" si="2"/>
        <v>-21260.01111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3"/>
      <c r="B78" s="175">
        <v>9.0</v>
      </c>
      <c r="C78" s="176">
        <v>44685.0</v>
      </c>
      <c r="D78" s="175">
        <v>5.0</v>
      </c>
      <c r="E78" s="177">
        <v>7.0</v>
      </c>
      <c r="F78" s="177" t="str">
        <f>IFERROR(VLOOKUP(E78,Bar!$B:$C,2,0),"")</f>
        <v>Chocotorta</v>
      </c>
      <c r="G78" s="175">
        <v>17.0</v>
      </c>
      <c r="H78" s="175">
        <f>IFERROR(IFERROR(VLOOKUP(E78,Bar!$B:$D,3,0),"")*G78,"")</f>
        <v>47893.45238</v>
      </c>
      <c r="I78" s="175">
        <v>4590.0</v>
      </c>
      <c r="J78" s="175">
        <f t="shared" si="2"/>
        <v>-43303.45238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3"/>
      <c r="B79" s="175">
        <v>9.0</v>
      </c>
      <c r="C79" s="176">
        <v>44685.0</v>
      </c>
      <c r="D79" s="175">
        <v>5.0</v>
      </c>
      <c r="E79" s="177">
        <v>9.0</v>
      </c>
      <c r="F79" s="177" t="str">
        <f>IFERROR(VLOOKUP(E79,Bar!$B:$C,2,0),"")</f>
        <v>Torta Oreo</v>
      </c>
      <c r="G79" s="175">
        <v>12.0</v>
      </c>
      <c r="H79" s="175">
        <f>IFERROR(IFERROR(VLOOKUP(E79,Bar!$B:$D,3,0),"")*G79,"")</f>
        <v>35830</v>
      </c>
      <c r="I79" s="175">
        <v>3240.0</v>
      </c>
      <c r="J79" s="175">
        <f t="shared" si="2"/>
        <v>-32590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3"/>
      <c r="B80" s="175">
        <v>9.0</v>
      </c>
      <c r="C80" s="176">
        <v>44685.0</v>
      </c>
      <c r="D80" s="175">
        <f t="shared" ref="D80:D152" si="11">IFERROR(MONTH(C80),"")</f>
        <v>5</v>
      </c>
      <c r="E80" s="177">
        <v>6.0</v>
      </c>
      <c r="F80" s="177" t="str">
        <f>IFERROR(VLOOKUP(E80,Bar!$B:$C,2,0),"")</f>
        <v>Browrnie Oreo</v>
      </c>
      <c r="G80" s="175">
        <v>12.0</v>
      </c>
      <c r="H80" s="175">
        <f>IFERROR(IFERROR(VLOOKUP(E80,Bar!$B:$D,3,0),"")*G80,"")</f>
        <v>29146.65556</v>
      </c>
      <c r="I80" s="175">
        <v>3240.0</v>
      </c>
      <c r="J80" s="175">
        <f t="shared" si="2"/>
        <v>-25906.65556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3"/>
      <c r="B81" s="175">
        <v>9.0</v>
      </c>
      <c r="C81" s="176">
        <v>44686.0</v>
      </c>
      <c r="D81" s="175">
        <f t="shared" si="11"/>
        <v>5</v>
      </c>
      <c r="E81" s="177">
        <v>10.0</v>
      </c>
      <c r="F81" s="177" t="str">
        <f>IFERROR(VLOOKUP(E81,Bar!$B:$C,2,0),"")</f>
        <v>Apple Crumble</v>
      </c>
      <c r="G81" s="175">
        <v>12.0</v>
      </c>
      <c r="H81" s="175">
        <f>IFERROR(IFERROR(VLOOKUP(E81,Bar!$B:$D,3,0),"")*G81,"")</f>
        <v>13412.23333</v>
      </c>
      <c r="I81" s="175">
        <v>3240.0</v>
      </c>
      <c r="J81" s="175">
        <f t="shared" si="2"/>
        <v>-10172.23333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3"/>
      <c r="B82" s="178">
        <v>9.0</v>
      </c>
      <c r="C82" s="179">
        <v>44685.0</v>
      </c>
      <c r="D82" s="178">
        <f t="shared" si="11"/>
        <v>5</v>
      </c>
      <c r="E82" s="180">
        <v>11.0</v>
      </c>
      <c r="F82" s="180" t="str">
        <f>IFERROR(VLOOKUP(E82,Bar!$B:$C,2,0),"")</f>
        <v>Macarrons x12</v>
      </c>
      <c r="G82" s="178">
        <v>2.0</v>
      </c>
      <c r="H82" s="178">
        <f>IFERROR(IFERROR(VLOOKUP(E82,Bar!$B:$D,3,0),"")*G82,"")</f>
        <v>3836.75</v>
      </c>
      <c r="I82" s="178">
        <v>1000.0</v>
      </c>
      <c r="J82" s="178">
        <f t="shared" si="2"/>
        <v>-2836.75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3"/>
      <c r="B83" s="175">
        <v>10.0</v>
      </c>
      <c r="C83" s="176">
        <v>44692.0</v>
      </c>
      <c r="D83" s="175">
        <f t="shared" si="11"/>
        <v>5</v>
      </c>
      <c r="E83" s="177">
        <v>8.0</v>
      </c>
      <c r="F83" s="177" t="str">
        <f>IFERROR(VLOOKUP(E83,Bar!$B:$C,2,0),"")</f>
        <v>Cheese Cake Frutos rojos</v>
      </c>
      <c r="G83" s="175">
        <v>20.0</v>
      </c>
      <c r="H83" s="175">
        <f>IFERROR(IFERROR(VLOOKUP(E83,Bar!$B:$D,3,0),"")*G83,"")</f>
        <v>50833.10613</v>
      </c>
      <c r="I83" s="175">
        <v>5400.0</v>
      </c>
      <c r="J83" s="175">
        <f t="shared" si="2"/>
        <v>-45433.10613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3"/>
      <c r="B84" s="175">
        <v>10.0</v>
      </c>
      <c r="C84" s="176">
        <f t="shared" ref="C84:C88" si="12">IFERROR(IF(B84=B83,C83,""),"")</f>
        <v>44692</v>
      </c>
      <c r="D84" s="175">
        <f t="shared" si="11"/>
        <v>5</v>
      </c>
      <c r="E84" s="177">
        <v>5.0</v>
      </c>
      <c r="F84" s="177" t="str">
        <f>IFERROR(VLOOKUP(E84,Bar!$B:$C,2,0),"")</f>
        <v>Lemon Pie</v>
      </c>
      <c r="G84" s="175">
        <v>12.0</v>
      </c>
      <c r="H84" s="175">
        <f>IFERROR(IFERROR(VLOOKUP(E84,Bar!$B:$D,3,0),"")*G84,"")</f>
        <v>18247.06667</v>
      </c>
      <c r="I84" s="175">
        <v>3240.0</v>
      </c>
      <c r="J84" s="175">
        <f t="shared" si="2"/>
        <v>-15007.06667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3"/>
      <c r="B85" s="175">
        <v>10.0</v>
      </c>
      <c r="C85" s="176">
        <f t="shared" si="12"/>
        <v>44692</v>
      </c>
      <c r="D85" s="175">
        <f t="shared" si="11"/>
        <v>5</v>
      </c>
      <c r="E85" s="177">
        <v>6.0</v>
      </c>
      <c r="F85" s="177" t="str">
        <f>IFERROR(VLOOKUP(E85,Bar!$B:$C,2,0),"")</f>
        <v>Browrnie Oreo</v>
      </c>
      <c r="G85" s="175">
        <v>12.0</v>
      </c>
      <c r="H85" s="175">
        <f>IFERROR(IFERROR(VLOOKUP(E85,Bar!$B:$D,3,0),"")*G85,"")</f>
        <v>29146.65556</v>
      </c>
      <c r="I85" s="175">
        <v>3240.0</v>
      </c>
      <c r="J85" s="175">
        <f t="shared" si="2"/>
        <v>-25906.65556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3"/>
      <c r="B86" s="175">
        <v>10.0</v>
      </c>
      <c r="C86" s="176">
        <f t="shared" si="12"/>
        <v>44692</v>
      </c>
      <c r="D86" s="175">
        <f t="shared" si="11"/>
        <v>5</v>
      </c>
      <c r="E86" s="177">
        <v>9.0</v>
      </c>
      <c r="F86" s="177" t="str">
        <f>IFERROR(VLOOKUP(E86,Bar!$B:$C,2,0),"")</f>
        <v>Torta Oreo</v>
      </c>
      <c r="G86" s="175">
        <v>17.0</v>
      </c>
      <c r="H86" s="175">
        <f>IFERROR(IFERROR(VLOOKUP(E86,Bar!$B:$D,3,0),"")*G86,"")</f>
        <v>50759.16667</v>
      </c>
      <c r="I86" s="175">
        <v>4590.0</v>
      </c>
      <c r="J86" s="175">
        <f t="shared" si="2"/>
        <v>-46169.16667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3"/>
      <c r="B87" s="175">
        <v>10.0</v>
      </c>
      <c r="C87" s="176">
        <f t="shared" si="12"/>
        <v>44692</v>
      </c>
      <c r="D87" s="175">
        <f t="shared" si="11"/>
        <v>5</v>
      </c>
      <c r="E87" s="177">
        <v>10.0</v>
      </c>
      <c r="F87" s="177" t="str">
        <f>IFERROR(VLOOKUP(E87,Bar!$B:$C,2,0),"")</f>
        <v>Apple Crumble</v>
      </c>
      <c r="G87" s="175">
        <v>17.0</v>
      </c>
      <c r="H87" s="175">
        <f>IFERROR(IFERROR(VLOOKUP(E87,Bar!$B:$D,3,0),"")*G87,"")</f>
        <v>19000.66389</v>
      </c>
      <c r="I87" s="175">
        <v>4590.0</v>
      </c>
      <c r="J87" s="175">
        <f t="shared" si="2"/>
        <v>-14410.66389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3"/>
      <c r="B88" s="178">
        <v>10.0</v>
      </c>
      <c r="C88" s="179">
        <f t="shared" si="12"/>
        <v>44692</v>
      </c>
      <c r="D88" s="178">
        <f t="shared" si="11"/>
        <v>5</v>
      </c>
      <c r="E88" s="180">
        <v>11.0</v>
      </c>
      <c r="F88" s="180" t="str">
        <f>IFERROR(VLOOKUP(E88,Bar!$B:$C,2,0),"")</f>
        <v>Macarrons x12</v>
      </c>
      <c r="G88" s="178">
        <v>2.0</v>
      </c>
      <c r="H88" s="178">
        <f>IFERROR(IFERROR(VLOOKUP(E88,Bar!$B:$D,3,0),"")*G88,"")</f>
        <v>3836.75</v>
      </c>
      <c r="I88" s="178">
        <v>1000.0</v>
      </c>
      <c r="J88" s="178">
        <f t="shared" si="2"/>
        <v>-2836.75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3"/>
      <c r="B89" s="175">
        <v>11.0</v>
      </c>
      <c r="C89" s="176">
        <v>44700.0</v>
      </c>
      <c r="D89" s="175">
        <f t="shared" si="11"/>
        <v>5</v>
      </c>
      <c r="E89" s="177">
        <v>8.0</v>
      </c>
      <c r="F89" s="177" t="str">
        <f>IFERROR(VLOOKUP(E89,Bar!$B:$C,2,0),"")</f>
        <v>Cheese Cake Frutos rojos</v>
      </c>
      <c r="G89" s="175">
        <v>24.0</v>
      </c>
      <c r="H89" s="175">
        <f>IFERROR(IFERROR(VLOOKUP(E89,Bar!$B:$D,3,0),"")*G89,"")</f>
        <v>60999.72736</v>
      </c>
      <c r="I89" s="175">
        <v>6480.0</v>
      </c>
      <c r="J89" s="175">
        <f t="shared" si="2"/>
        <v>-54519.72736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3"/>
      <c r="B90" s="175">
        <v>11.0</v>
      </c>
      <c r="C90" s="176">
        <f t="shared" ref="C90:C95" si="13">IFERROR(IF(B90=B89,C89,""),"")</f>
        <v>44700</v>
      </c>
      <c r="D90" s="175">
        <f t="shared" si="11"/>
        <v>5</v>
      </c>
      <c r="E90" s="177">
        <v>5.0</v>
      </c>
      <c r="F90" s="177" t="str">
        <f>IFERROR(VLOOKUP(E90,Bar!$B:$C,2,0),"")</f>
        <v>Lemon Pie</v>
      </c>
      <c r="G90" s="175">
        <v>24.0</v>
      </c>
      <c r="H90" s="175">
        <f>IFERROR(IFERROR(VLOOKUP(E90,Bar!$B:$D,3,0),"")*G90,"")</f>
        <v>36494.13333</v>
      </c>
      <c r="I90" s="175">
        <v>6480.0</v>
      </c>
      <c r="J90" s="175">
        <f t="shared" si="2"/>
        <v>-30014.13333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3"/>
      <c r="B91" s="175">
        <v>11.0</v>
      </c>
      <c r="C91" s="176">
        <f t="shared" si="13"/>
        <v>44700</v>
      </c>
      <c r="D91" s="175">
        <f t="shared" si="11"/>
        <v>5</v>
      </c>
      <c r="E91" s="177">
        <v>6.0</v>
      </c>
      <c r="F91" s="177" t="str">
        <f>IFERROR(VLOOKUP(E91,Bar!$B:$C,2,0),"")</f>
        <v>Browrnie Oreo</v>
      </c>
      <c r="G91" s="175">
        <v>24.0</v>
      </c>
      <c r="H91" s="175">
        <f>IFERROR(IFERROR(VLOOKUP(E91,Bar!$B:$D,3,0),"")*G91,"")</f>
        <v>58293.31111</v>
      </c>
      <c r="I91" s="175">
        <v>6480.0</v>
      </c>
      <c r="J91" s="175">
        <f t="shared" si="2"/>
        <v>-51813.31111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3"/>
      <c r="B92" s="175">
        <v>11.0</v>
      </c>
      <c r="C92" s="176">
        <f t="shared" si="13"/>
        <v>44700</v>
      </c>
      <c r="D92" s="175">
        <f t="shared" si="11"/>
        <v>5</v>
      </c>
      <c r="E92" s="177">
        <v>7.0</v>
      </c>
      <c r="F92" s="177" t="str">
        <f>IFERROR(VLOOKUP(E92,Bar!$B:$C,2,0),"")</f>
        <v>Chocotorta</v>
      </c>
      <c r="G92" s="175">
        <v>24.0</v>
      </c>
      <c r="H92" s="175">
        <f>IFERROR(IFERROR(VLOOKUP(E92,Bar!$B:$D,3,0),"")*G92,"")</f>
        <v>67614.28571</v>
      </c>
      <c r="I92" s="175">
        <v>6480.0</v>
      </c>
      <c r="J92" s="175">
        <f t="shared" si="2"/>
        <v>-61134.28571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3"/>
      <c r="B93" s="175">
        <v>11.0</v>
      </c>
      <c r="C93" s="176">
        <f t="shared" si="13"/>
        <v>44700</v>
      </c>
      <c r="D93" s="175">
        <f t="shared" si="11"/>
        <v>5</v>
      </c>
      <c r="E93" s="177">
        <v>9.0</v>
      </c>
      <c r="F93" s="177" t="str">
        <f>IFERROR(VLOOKUP(E93,Bar!$B:$C,2,0),"")</f>
        <v>Torta Oreo</v>
      </c>
      <c r="G93" s="175">
        <v>24.0</v>
      </c>
      <c r="H93" s="175">
        <f>IFERROR(IFERROR(VLOOKUP(E93,Bar!$B:$D,3,0),"")*G93,"")</f>
        <v>71660</v>
      </c>
      <c r="I93" s="175">
        <v>6480.0</v>
      </c>
      <c r="J93" s="175">
        <f t="shared" si="2"/>
        <v>-65180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3"/>
      <c r="B94" s="175">
        <v>11.0</v>
      </c>
      <c r="C94" s="176">
        <f t="shared" si="13"/>
        <v>44700</v>
      </c>
      <c r="D94" s="175">
        <f t="shared" si="11"/>
        <v>5</v>
      </c>
      <c r="E94" s="177">
        <v>10.0</v>
      </c>
      <c r="F94" s="177" t="str">
        <f>IFERROR(VLOOKUP(E94,Bar!$B:$C,2,0),"")</f>
        <v>Apple Crumble</v>
      </c>
      <c r="G94" s="175">
        <v>24.0</v>
      </c>
      <c r="H94" s="175">
        <f>IFERROR(IFERROR(VLOOKUP(E94,Bar!$B:$D,3,0),"")*G94,"")</f>
        <v>26824.46667</v>
      </c>
      <c r="I94" s="175">
        <v>6480.0</v>
      </c>
      <c r="J94" s="175">
        <f t="shared" si="2"/>
        <v>-20344.46667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3"/>
      <c r="B95" s="178">
        <v>11.0</v>
      </c>
      <c r="C95" s="179">
        <f t="shared" si="13"/>
        <v>44700</v>
      </c>
      <c r="D95" s="178">
        <f t="shared" si="11"/>
        <v>5</v>
      </c>
      <c r="E95" s="180">
        <v>11.0</v>
      </c>
      <c r="F95" s="180" t="str">
        <f>IFERROR(VLOOKUP(E95,Bar!$B:$C,2,0),"")</f>
        <v>Macarrons x12</v>
      </c>
      <c r="G95" s="178">
        <v>2.0</v>
      </c>
      <c r="H95" s="178">
        <f>IFERROR(IFERROR(VLOOKUP(E95,Bar!$B:$D,3,0),"")*G95,"")</f>
        <v>3836.75</v>
      </c>
      <c r="I95" s="178">
        <v>1000.0</v>
      </c>
      <c r="J95" s="178">
        <f t="shared" si="2"/>
        <v>-2836.75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3"/>
      <c r="B96" s="175">
        <v>12.0</v>
      </c>
      <c r="C96" s="176">
        <v>44707.0</v>
      </c>
      <c r="D96" s="175">
        <f t="shared" si="11"/>
        <v>5</v>
      </c>
      <c r="E96" s="177">
        <v>8.0</v>
      </c>
      <c r="F96" s="177" t="str">
        <f>IFERROR(VLOOKUP(E96,Bar!$B:$C,2,0),"")</f>
        <v>Cheese Cake Frutos rojos</v>
      </c>
      <c r="G96" s="175">
        <v>20.0</v>
      </c>
      <c r="H96" s="175">
        <f>IFERROR(IFERROR(VLOOKUP(E96,Bar!$B:$D,3,0),"")*G96,"")</f>
        <v>50833.10613</v>
      </c>
      <c r="I96" s="175">
        <v>5400.0</v>
      </c>
      <c r="J96" s="175">
        <f t="shared" si="2"/>
        <v>-45433.10613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3"/>
      <c r="B97" s="175">
        <v>12.0</v>
      </c>
      <c r="C97" s="176">
        <f t="shared" ref="C97:C102" si="14">IFERROR(IF(B97=B96,C96,""),"")</f>
        <v>44707</v>
      </c>
      <c r="D97" s="175">
        <f t="shared" si="11"/>
        <v>5</v>
      </c>
      <c r="E97" s="177">
        <v>6.0</v>
      </c>
      <c r="F97" s="177" t="str">
        <f>IFERROR(VLOOKUP(E97,Bar!$B:$C,2,0),"")</f>
        <v>Browrnie Oreo</v>
      </c>
      <c r="G97" s="175">
        <v>12.0</v>
      </c>
      <c r="H97" s="175">
        <f>IFERROR(IFERROR(VLOOKUP(E97,Bar!$B:$D,3,0),"")*G97,"")</f>
        <v>29146.65556</v>
      </c>
      <c r="I97" s="175">
        <v>3240.0</v>
      </c>
      <c r="J97" s="175">
        <f t="shared" si="2"/>
        <v>-25906.65556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3"/>
      <c r="B98" s="175">
        <v>12.0</v>
      </c>
      <c r="C98" s="176">
        <f t="shared" si="14"/>
        <v>44707</v>
      </c>
      <c r="D98" s="175">
        <f t="shared" si="11"/>
        <v>5</v>
      </c>
      <c r="E98" s="177">
        <v>9.0</v>
      </c>
      <c r="F98" s="177" t="str">
        <f>IFERROR(VLOOKUP(E98,Bar!$B:$C,2,0),"")</f>
        <v>Torta Oreo</v>
      </c>
      <c r="G98" s="175">
        <v>17.0</v>
      </c>
      <c r="H98" s="175">
        <f>IFERROR(IFERROR(VLOOKUP(E98,Bar!$B:$D,3,0),"")*G98,"")</f>
        <v>50759.16667</v>
      </c>
      <c r="I98" s="175">
        <v>4590.0</v>
      </c>
      <c r="J98" s="175">
        <f t="shared" si="2"/>
        <v>-46169.16667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3"/>
      <c r="B99" s="175">
        <v>12.0</v>
      </c>
      <c r="C99" s="176">
        <f t="shared" si="14"/>
        <v>44707</v>
      </c>
      <c r="D99" s="175">
        <f t="shared" si="11"/>
        <v>5</v>
      </c>
      <c r="E99" s="177">
        <v>7.0</v>
      </c>
      <c r="F99" s="177" t="str">
        <f>IFERROR(VLOOKUP(E99,Bar!$B:$C,2,0),"")</f>
        <v>Chocotorta</v>
      </c>
      <c r="G99" s="175">
        <v>17.0</v>
      </c>
      <c r="H99" s="175">
        <f>IFERROR(IFERROR(VLOOKUP(E99,Bar!$B:$D,3,0),"")*G99,"")</f>
        <v>47893.45238</v>
      </c>
      <c r="I99" s="175">
        <v>4590.0</v>
      </c>
      <c r="J99" s="175">
        <f t="shared" si="2"/>
        <v>-43303.45238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3"/>
      <c r="B100" s="175">
        <v>12.0</v>
      </c>
      <c r="C100" s="176">
        <f t="shared" si="14"/>
        <v>44707</v>
      </c>
      <c r="D100" s="175">
        <f t="shared" si="11"/>
        <v>5</v>
      </c>
      <c r="E100" s="177">
        <v>10.0</v>
      </c>
      <c r="F100" s="177" t="str">
        <f>IFERROR(VLOOKUP(E100,Bar!$B:$C,2,0),"")</f>
        <v>Apple Crumble</v>
      </c>
      <c r="G100" s="175">
        <v>12.0</v>
      </c>
      <c r="H100" s="175">
        <f>IFERROR(IFERROR(VLOOKUP(E100,Bar!$B:$D,3,0),"")*G100,"")</f>
        <v>13412.23333</v>
      </c>
      <c r="I100" s="175">
        <v>3240.0</v>
      </c>
      <c r="J100" s="175">
        <f t="shared" si="2"/>
        <v>-10172.23333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3"/>
      <c r="B101" s="175">
        <v>12.0</v>
      </c>
      <c r="C101" s="176">
        <f t="shared" si="14"/>
        <v>44707</v>
      </c>
      <c r="D101" s="175">
        <f t="shared" si="11"/>
        <v>5</v>
      </c>
      <c r="E101" s="177">
        <v>5.0</v>
      </c>
      <c r="F101" s="177" t="str">
        <f>IFERROR(VLOOKUP(E101,Bar!$B:$C,2,0),"")</f>
        <v>Lemon Pie</v>
      </c>
      <c r="G101" s="175">
        <v>17.0</v>
      </c>
      <c r="H101" s="175">
        <f>IFERROR(IFERROR(VLOOKUP(E101,Bar!$B:$D,3,0),"")*G101,"")</f>
        <v>25850.01111</v>
      </c>
      <c r="I101" s="175">
        <v>4590.0</v>
      </c>
      <c r="J101" s="175">
        <f t="shared" si="2"/>
        <v>-21260.01111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3"/>
      <c r="B102" s="175">
        <v>12.0</v>
      </c>
      <c r="C102" s="176">
        <f t="shared" si="14"/>
        <v>44707</v>
      </c>
      <c r="D102" s="175">
        <f t="shared" si="11"/>
        <v>5</v>
      </c>
      <c r="E102" s="177">
        <v>11.0</v>
      </c>
      <c r="F102" s="177" t="str">
        <f>IFERROR(VLOOKUP(E102,Bar!$B:$C,2,0),"")</f>
        <v>Macarrons x12</v>
      </c>
      <c r="G102" s="175">
        <v>1.0</v>
      </c>
      <c r="H102" s="175">
        <f>IFERROR(IFERROR(VLOOKUP(E102,Bar!$B:$D,3,0),"")*G102,"")</f>
        <v>1918.375</v>
      </c>
      <c r="I102" s="175">
        <v>500.0</v>
      </c>
      <c r="J102" s="175">
        <f t="shared" si="2"/>
        <v>-1418.375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13"/>
      <c r="B103" s="172">
        <v>13.0</v>
      </c>
      <c r="C103" s="173">
        <v>44725.0</v>
      </c>
      <c r="D103" s="172">
        <f t="shared" si="11"/>
        <v>6</v>
      </c>
      <c r="E103" s="174">
        <v>5.0</v>
      </c>
      <c r="F103" s="174" t="str">
        <f>IFERROR(VLOOKUP(E103,Bar!$B:$C,2,0),"")</f>
        <v>Lemon Pie</v>
      </c>
      <c r="G103" s="172">
        <v>4.0</v>
      </c>
      <c r="H103" s="172">
        <f>IFERROR(IFERROR(VLOOKUP(E103,Bar!$B:$D,3,0),"")*G103,"")</f>
        <v>6082.355556</v>
      </c>
      <c r="I103" s="172">
        <v>1200.0</v>
      </c>
      <c r="J103" s="172">
        <f t="shared" si="2"/>
        <v>-4882.355556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13"/>
      <c r="B104" s="175">
        <v>13.0</v>
      </c>
      <c r="C104" s="176">
        <f t="shared" ref="C104:C108" si="15">IFERROR(IF(B104=B103,C103,""),"")</f>
        <v>44725</v>
      </c>
      <c r="D104" s="175">
        <f t="shared" si="11"/>
        <v>6</v>
      </c>
      <c r="E104" s="177">
        <v>9.0</v>
      </c>
      <c r="F104" s="177" t="str">
        <f>IFERROR(VLOOKUP(E104,Bar!$B:$C,2,0),"")</f>
        <v>Torta Oreo</v>
      </c>
      <c r="G104" s="175">
        <v>4.0</v>
      </c>
      <c r="H104" s="175">
        <f>IFERROR(IFERROR(VLOOKUP(E104,Bar!$B:$D,3,0),"")*G104,"")</f>
        <v>11943.33333</v>
      </c>
      <c r="I104" s="175">
        <v>1200.0</v>
      </c>
      <c r="J104" s="175">
        <f t="shared" si="2"/>
        <v>-10743.33333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3"/>
      <c r="B105" s="175">
        <v>13.0</v>
      </c>
      <c r="C105" s="176">
        <f t="shared" si="15"/>
        <v>44725</v>
      </c>
      <c r="D105" s="175">
        <f t="shared" si="11"/>
        <v>6</v>
      </c>
      <c r="E105" s="177">
        <v>8.0</v>
      </c>
      <c r="F105" s="177" t="str">
        <f>IFERROR(VLOOKUP(E105,Bar!$B:$C,2,0),"")</f>
        <v>Cheese Cake Frutos rojos</v>
      </c>
      <c r="G105" s="175">
        <v>4.0</v>
      </c>
      <c r="H105" s="175">
        <f>IFERROR(IFERROR(VLOOKUP(E105,Bar!$B:$D,3,0),"")*G105,"")</f>
        <v>10166.62123</v>
      </c>
      <c r="I105" s="175">
        <v>1200.0</v>
      </c>
      <c r="J105" s="175">
        <f t="shared" si="2"/>
        <v>-8966.621226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3"/>
      <c r="B106" s="175">
        <v>13.0</v>
      </c>
      <c r="C106" s="176">
        <f t="shared" si="15"/>
        <v>44725</v>
      </c>
      <c r="D106" s="175">
        <f t="shared" si="11"/>
        <v>6</v>
      </c>
      <c r="E106" s="177">
        <v>6.0</v>
      </c>
      <c r="F106" s="177" t="str">
        <f>IFERROR(VLOOKUP(E106,Bar!$B:$C,2,0),"")</f>
        <v>Browrnie Oreo</v>
      </c>
      <c r="G106" s="175">
        <v>6.0</v>
      </c>
      <c r="H106" s="175">
        <f>IFERROR(IFERROR(VLOOKUP(E106,Bar!$B:$D,3,0),"")*G106,"")</f>
        <v>14573.32778</v>
      </c>
      <c r="I106" s="175">
        <v>1800.0</v>
      </c>
      <c r="J106" s="175">
        <f t="shared" si="2"/>
        <v>-12773.32778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3"/>
      <c r="B107" s="175">
        <v>13.0</v>
      </c>
      <c r="C107" s="176">
        <f t="shared" si="15"/>
        <v>44725</v>
      </c>
      <c r="D107" s="175">
        <f t="shared" si="11"/>
        <v>6</v>
      </c>
      <c r="E107" s="177">
        <v>11.0</v>
      </c>
      <c r="F107" s="177" t="str">
        <f>IFERROR(VLOOKUP(E107,Bar!$B:$C,2,0),"")</f>
        <v>Macarrons x12</v>
      </c>
      <c r="G107" s="175">
        <v>1.0</v>
      </c>
      <c r="H107" s="175">
        <f>IFERROR(IFERROR(VLOOKUP(E107,Bar!$B:$D,3,0),"")*G107,"")</f>
        <v>1918.375</v>
      </c>
      <c r="I107" s="175">
        <v>900.0</v>
      </c>
      <c r="J107" s="175">
        <f t="shared" si="2"/>
        <v>-1018.375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3"/>
      <c r="B108" s="184">
        <v>13.0</v>
      </c>
      <c r="C108" s="185">
        <f t="shared" si="15"/>
        <v>44725</v>
      </c>
      <c r="D108" s="184">
        <f t="shared" si="11"/>
        <v>6</v>
      </c>
      <c r="E108" s="186">
        <v>2.0</v>
      </c>
      <c r="F108" s="186" t="str">
        <f>IFERROR(VLOOKUP(E108,Bar!$B:$C,2,0),"")</f>
        <v>Budín zanahoria</v>
      </c>
      <c r="G108" s="184">
        <v>2.0</v>
      </c>
      <c r="H108" s="184">
        <f>IFERROR(IFERROR(VLOOKUP(E108,Bar!$B:$D,3,0),"")*G108,"")</f>
        <v>11116.13333</v>
      </c>
      <c r="I108" s="184">
        <v>2000.0</v>
      </c>
      <c r="J108" s="184">
        <f t="shared" si="2"/>
        <v>-9116.133333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13"/>
      <c r="B109" s="172">
        <v>14.0</v>
      </c>
      <c r="C109" s="173">
        <v>44728.0</v>
      </c>
      <c r="D109" s="172">
        <f t="shared" si="11"/>
        <v>6</v>
      </c>
      <c r="E109" s="174">
        <v>5.0</v>
      </c>
      <c r="F109" s="174" t="str">
        <f>IFERROR(VLOOKUP(E109,Bar!$B:$C,2,0),"")</f>
        <v>Lemon Pie</v>
      </c>
      <c r="G109" s="172">
        <v>3.0</v>
      </c>
      <c r="H109" s="172">
        <f>IFERROR(IFERROR(VLOOKUP(E109,Bar!$B:$D,3,0),"")*G109,"")</f>
        <v>4561.766667</v>
      </c>
      <c r="I109" s="172">
        <v>900.0</v>
      </c>
      <c r="J109" s="172">
        <f t="shared" si="2"/>
        <v>-3661.766667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13"/>
      <c r="B110" s="175">
        <v>14.0</v>
      </c>
      <c r="C110" s="176">
        <f t="shared" ref="C110:C113" si="16">IFERROR(IF(B110=B109,C109,""),"")</f>
        <v>44728</v>
      </c>
      <c r="D110" s="175">
        <f t="shared" si="11"/>
        <v>6</v>
      </c>
      <c r="E110" s="177">
        <v>6.0</v>
      </c>
      <c r="F110" s="177" t="str">
        <f>IFERROR(VLOOKUP(E110,Bar!$B:$C,2,0),"")</f>
        <v>Browrnie Oreo</v>
      </c>
      <c r="G110" s="175">
        <v>5.0</v>
      </c>
      <c r="H110" s="175">
        <f>IFERROR(IFERROR(VLOOKUP(E110,Bar!$B:$D,3,0),"")*G110,"")</f>
        <v>12144.43981</v>
      </c>
      <c r="I110" s="175">
        <v>1500.0</v>
      </c>
      <c r="J110" s="175">
        <f t="shared" si="2"/>
        <v>-10644.43981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13"/>
      <c r="B111" s="175">
        <v>14.0</v>
      </c>
      <c r="C111" s="176">
        <f t="shared" si="16"/>
        <v>44728</v>
      </c>
      <c r="D111" s="175">
        <f t="shared" si="11"/>
        <v>6</v>
      </c>
      <c r="E111" s="177">
        <v>10.0</v>
      </c>
      <c r="F111" s="177" t="str">
        <f>IFERROR(VLOOKUP(E111,Bar!$B:$C,2,0),"")</f>
        <v>Apple Crumble</v>
      </c>
      <c r="G111" s="175">
        <v>4.0</v>
      </c>
      <c r="H111" s="175">
        <f>IFERROR(IFERROR(VLOOKUP(E111,Bar!$B:$D,3,0),"")*G111,"")</f>
        <v>4470.744444</v>
      </c>
      <c r="I111" s="175">
        <v>1200.0</v>
      </c>
      <c r="J111" s="175">
        <f t="shared" si="2"/>
        <v>-3270.744444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13"/>
      <c r="B112" s="175">
        <v>14.0</v>
      </c>
      <c r="C112" s="176">
        <f t="shared" si="16"/>
        <v>44728</v>
      </c>
      <c r="D112" s="175">
        <f t="shared" si="11"/>
        <v>6</v>
      </c>
      <c r="E112" s="177">
        <v>8.0</v>
      </c>
      <c r="F112" s="177" t="str">
        <f>IFERROR(VLOOKUP(E112,Bar!$B:$C,2,0),"")</f>
        <v>Cheese Cake Frutos rojos</v>
      </c>
      <c r="G112" s="175">
        <v>4.0</v>
      </c>
      <c r="H112" s="175">
        <f>IFERROR(IFERROR(VLOOKUP(E112,Bar!$B:$D,3,0),"")*G112,"")</f>
        <v>10166.62123</v>
      </c>
      <c r="I112" s="175">
        <v>1200.0</v>
      </c>
      <c r="J112" s="175">
        <f t="shared" si="2"/>
        <v>-8966.621226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13"/>
      <c r="B113" s="184">
        <v>14.0</v>
      </c>
      <c r="C113" s="185">
        <f t="shared" si="16"/>
        <v>44728</v>
      </c>
      <c r="D113" s="184">
        <f t="shared" si="11"/>
        <v>6</v>
      </c>
      <c r="E113" s="186">
        <v>16.0</v>
      </c>
      <c r="F113" s="186" t="str">
        <f>IFERROR(VLOOKUP(E113,Bar!$B:$C,2,0),"")</f>
        <v>Torta cumpleaños Selva Negra 20cm</v>
      </c>
      <c r="G113" s="184">
        <v>13.0</v>
      </c>
      <c r="H113" s="184">
        <f>IFERROR(IFERROR(VLOOKUP(E113,Bar!$B:$D,3,0),"")*G113,"")</f>
        <v>118211.6</v>
      </c>
      <c r="I113" s="184">
        <v>1950.0</v>
      </c>
      <c r="J113" s="184">
        <f t="shared" si="2"/>
        <v>-116261.6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13"/>
      <c r="B114" s="172">
        <v>15.0</v>
      </c>
      <c r="C114" s="173">
        <v>44738.0</v>
      </c>
      <c r="D114" s="172">
        <f t="shared" si="11"/>
        <v>6</v>
      </c>
      <c r="E114" s="174">
        <v>6.0</v>
      </c>
      <c r="F114" s="174" t="str">
        <f>IFERROR(VLOOKUP(E114,Bar!$B:$C,2,0),"")</f>
        <v>Browrnie Oreo</v>
      </c>
      <c r="G114" s="172">
        <v>12.0</v>
      </c>
      <c r="H114" s="172">
        <f>IFERROR(IFERROR(VLOOKUP(E114,Bar!$B:$D,3,0),"")*G114,"")</f>
        <v>29146.65556</v>
      </c>
      <c r="I114" s="172">
        <v>3600.0</v>
      </c>
      <c r="J114" s="172">
        <f t="shared" si="2"/>
        <v>-25546.65556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3"/>
      <c r="B115" s="175">
        <v>15.0</v>
      </c>
      <c r="C115" s="176">
        <f t="shared" ref="C115:C117" si="17">IFERROR(IF(B115=B114,C114,""),"")</f>
        <v>44738</v>
      </c>
      <c r="D115" s="175">
        <f t="shared" si="11"/>
        <v>6</v>
      </c>
      <c r="E115" s="177">
        <v>9.0</v>
      </c>
      <c r="F115" s="177" t="str">
        <f>IFERROR(VLOOKUP(E115,Bar!$B:$C,2,0),"")</f>
        <v>Torta Oreo</v>
      </c>
      <c r="G115" s="175">
        <v>6.0</v>
      </c>
      <c r="H115" s="175">
        <f>IFERROR(IFERROR(VLOOKUP(E115,Bar!$B:$D,3,0),"")*G115,"")</f>
        <v>17915</v>
      </c>
      <c r="I115" s="175">
        <v>1800.0</v>
      </c>
      <c r="J115" s="175">
        <f t="shared" si="2"/>
        <v>-16115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3"/>
      <c r="B116" s="175">
        <v>15.0</v>
      </c>
      <c r="C116" s="176">
        <f t="shared" si="17"/>
        <v>44738</v>
      </c>
      <c r="D116" s="175">
        <f t="shared" si="11"/>
        <v>6</v>
      </c>
      <c r="E116" s="177">
        <v>10.0</v>
      </c>
      <c r="F116" s="177" t="str">
        <f>IFERROR(VLOOKUP(E116,Bar!$B:$C,2,0),"")</f>
        <v>Apple Crumble</v>
      </c>
      <c r="G116" s="175">
        <v>7.0</v>
      </c>
      <c r="H116" s="175">
        <f>IFERROR(IFERROR(VLOOKUP(E116,Bar!$B:$D,3,0),"")*G116,"")</f>
        <v>7823.802778</v>
      </c>
      <c r="I116" s="175">
        <v>2100.0</v>
      </c>
      <c r="J116" s="175">
        <f t="shared" si="2"/>
        <v>-5723.802778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3"/>
      <c r="B117" s="184">
        <v>15.0</v>
      </c>
      <c r="C117" s="185">
        <f t="shared" si="17"/>
        <v>44738</v>
      </c>
      <c r="D117" s="184">
        <f t="shared" si="11"/>
        <v>6</v>
      </c>
      <c r="E117" s="186">
        <v>5.0</v>
      </c>
      <c r="F117" s="186" t="str">
        <f>IFERROR(VLOOKUP(E117,Bar!$B:$C,2,0),"")</f>
        <v>Lemon Pie</v>
      </c>
      <c r="G117" s="184">
        <v>8.0</v>
      </c>
      <c r="H117" s="184">
        <f>IFERROR(IFERROR(VLOOKUP(E117,Bar!$B:$D,3,0),"")*G117,"")</f>
        <v>12164.71111</v>
      </c>
      <c r="I117" s="184">
        <v>2400.0</v>
      </c>
      <c r="J117" s="184">
        <f t="shared" si="2"/>
        <v>-9764.711111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3"/>
      <c r="B118" s="172">
        <v>16.0</v>
      </c>
      <c r="C118" s="173">
        <v>44740.0</v>
      </c>
      <c r="D118" s="172">
        <f t="shared" si="11"/>
        <v>6</v>
      </c>
      <c r="E118" s="174">
        <v>5.0</v>
      </c>
      <c r="F118" s="174" t="str">
        <f>IFERROR(VLOOKUP(E118,Bar!$B:$C,2,0),"")</f>
        <v>Lemon Pie</v>
      </c>
      <c r="G118" s="172">
        <v>6.0</v>
      </c>
      <c r="H118" s="172">
        <f>IFERROR(IFERROR(VLOOKUP(E118,Bar!$B:$D,3,0),"")*G118,"")</f>
        <v>9123.533333</v>
      </c>
      <c r="I118" s="172">
        <v>1800.0</v>
      </c>
      <c r="J118" s="172">
        <f t="shared" si="2"/>
        <v>-7323.533333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3"/>
      <c r="B119" s="175">
        <v>16.0</v>
      </c>
      <c r="C119" s="176">
        <f t="shared" ref="C119:C120" si="18">IFERROR(IF(B119=B118,C118,""),"")</f>
        <v>44740</v>
      </c>
      <c r="D119" s="175">
        <f t="shared" si="11"/>
        <v>6</v>
      </c>
      <c r="E119" s="177">
        <v>6.0</v>
      </c>
      <c r="F119" s="177" t="str">
        <f>IFERROR(VLOOKUP(E119,Bar!$B:$C,2,0),"")</f>
        <v>Browrnie Oreo</v>
      </c>
      <c r="G119" s="175">
        <v>5.0</v>
      </c>
      <c r="H119" s="175">
        <f>IFERROR(IFERROR(VLOOKUP(E119,Bar!$B:$D,3,0),"")*G119,"")</f>
        <v>12144.43981</v>
      </c>
      <c r="I119" s="175">
        <v>1500.0</v>
      </c>
      <c r="J119" s="175">
        <f t="shared" si="2"/>
        <v>-10644.43981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3"/>
      <c r="B120" s="184">
        <v>16.0</v>
      </c>
      <c r="C120" s="185">
        <f t="shared" si="18"/>
        <v>44740</v>
      </c>
      <c r="D120" s="184">
        <f t="shared" si="11"/>
        <v>6</v>
      </c>
      <c r="E120" s="186">
        <v>9.0</v>
      </c>
      <c r="F120" s="186" t="str">
        <f>IFERROR(VLOOKUP(E120,Bar!$B:$C,2,0),"")</f>
        <v>Torta Oreo</v>
      </c>
      <c r="G120" s="184">
        <v>5.0</v>
      </c>
      <c r="H120" s="184">
        <f>IFERROR(IFERROR(VLOOKUP(E120,Bar!$B:$D,3,0),"")*G120,"")</f>
        <v>14929.16667</v>
      </c>
      <c r="I120" s="184">
        <v>1500.0</v>
      </c>
      <c r="J120" s="184">
        <f t="shared" si="2"/>
        <v>-13429.16667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3"/>
      <c r="B121" s="172">
        <v>17.0</v>
      </c>
      <c r="C121" s="173">
        <v>44742.0</v>
      </c>
      <c r="D121" s="172">
        <f t="shared" si="11"/>
        <v>6</v>
      </c>
      <c r="E121" s="174">
        <v>16.0</v>
      </c>
      <c r="F121" s="174" t="str">
        <f>IFERROR(VLOOKUP(E121,Bar!$B:$C,2,0),"")</f>
        <v>Torta cumpleaños Selva Negra 20cm</v>
      </c>
      <c r="G121" s="172">
        <v>10.0</v>
      </c>
      <c r="H121" s="172">
        <f>IFERROR(IFERROR(VLOOKUP(E121,Bar!$B:$D,3,0),"")*G121,"")</f>
        <v>90932</v>
      </c>
      <c r="I121" s="172">
        <v>1500.0</v>
      </c>
      <c r="J121" s="172">
        <f t="shared" si="2"/>
        <v>-89432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3"/>
      <c r="B122" s="175">
        <v>17.0</v>
      </c>
      <c r="C122" s="176">
        <v>44742.0</v>
      </c>
      <c r="D122" s="175">
        <f t="shared" si="11"/>
        <v>6</v>
      </c>
      <c r="E122" s="177">
        <v>8.0</v>
      </c>
      <c r="F122" s="177" t="str">
        <f>IFERROR(VLOOKUP(E122,Bar!$B:$C,2,0),"")</f>
        <v>Cheese Cake Frutos rojos</v>
      </c>
      <c r="G122" s="175">
        <v>10.0</v>
      </c>
      <c r="H122" s="175">
        <f>IFERROR(IFERROR(VLOOKUP(E122,Bar!$B:$D,3,0),"")*G122,"")</f>
        <v>25416.55307</v>
      </c>
      <c r="I122" s="175">
        <v>3000.0</v>
      </c>
      <c r="J122" s="175">
        <f t="shared" si="2"/>
        <v>-22416.55307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3"/>
      <c r="B123" s="175">
        <v>17.0</v>
      </c>
      <c r="C123" s="176">
        <v>44742.0</v>
      </c>
      <c r="D123" s="175">
        <f t="shared" si="11"/>
        <v>6</v>
      </c>
      <c r="E123" s="177">
        <v>9.0</v>
      </c>
      <c r="F123" s="177" t="str">
        <f>IFERROR(VLOOKUP(E123,Bar!$B:$C,2,0),"")</f>
        <v>Torta Oreo</v>
      </c>
      <c r="G123" s="175">
        <v>5.0</v>
      </c>
      <c r="H123" s="175">
        <f>IFERROR(IFERROR(VLOOKUP(E123,Bar!$B:$D,3,0),"")*G123,"")</f>
        <v>14929.16667</v>
      </c>
      <c r="I123" s="175">
        <v>1500.0</v>
      </c>
      <c r="J123" s="175">
        <f t="shared" si="2"/>
        <v>-13429.16667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3"/>
      <c r="B124" s="175">
        <v>17.0</v>
      </c>
      <c r="C124" s="176">
        <v>44742.0</v>
      </c>
      <c r="D124" s="175">
        <f t="shared" si="11"/>
        <v>6</v>
      </c>
      <c r="E124" s="177">
        <v>5.0</v>
      </c>
      <c r="F124" s="177" t="str">
        <f>IFERROR(VLOOKUP(E124,Bar!$B:$C,2,0),"")</f>
        <v>Lemon Pie</v>
      </c>
      <c r="G124" s="175">
        <v>7.0</v>
      </c>
      <c r="H124" s="175">
        <f>IFERROR(IFERROR(VLOOKUP(E124,Bar!$B:$D,3,0),"")*G124,"")</f>
        <v>10644.12222</v>
      </c>
      <c r="I124" s="175">
        <v>2100.0</v>
      </c>
      <c r="J124" s="175">
        <f t="shared" si="2"/>
        <v>-8544.122222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13"/>
      <c r="B125" s="175">
        <v>17.0</v>
      </c>
      <c r="C125" s="176">
        <v>44742.0</v>
      </c>
      <c r="D125" s="175">
        <f t="shared" si="11"/>
        <v>6</v>
      </c>
      <c r="E125" s="177">
        <v>6.0</v>
      </c>
      <c r="F125" s="177" t="str">
        <f>IFERROR(VLOOKUP(E125,Bar!$B:$C,2,0),"")</f>
        <v>Browrnie Oreo</v>
      </c>
      <c r="G125" s="175">
        <v>5.0</v>
      </c>
      <c r="H125" s="175">
        <f>IFERROR(IFERROR(VLOOKUP(E125,Bar!$B:$D,3,0),"")*G125,"")</f>
        <v>12144.43981</v>
      </c>
      <c r="I125" s="175">
        <v>1500.0</v>
      </c>
      <c r="J125" s="175">
        <f t="shared" si="2"/>
        <v>-10644.43981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13"/>
      <c r="B126" s="175">
        <v>17.0</v>
      </c>
      <c r="C126" s="176">
        <v>44742.0</v>
      </c>
      <c r="D126" s="175">
        <f t="shared" si="11"/>
        <v>6</v>
      </c>
      <c r="E126" s="177">
        <v>10.0</v>
      </c>
      <c r="F126" s="177" t="str">
        <f>IFERROR(VLOOKUP(E126,Bar!$B:$C,2,0),"")</f>
        <v>Apple Crumble</v>
      </c>
      <c r="G126" s="175">
        <v>5.0</v>
      </c>
      <c r="H126" s="175">
        <f>IFERROR(IFERROR(VLOOKUP(E126,Bar!$B:$D,3,0),"")*G126,"")</f>
        <v>5588.430556</v>
      </c>
      <c r="I126" s="175">
        <v>1500.0</v>
      </c>
      <c r="J126" s="175">
        <f t="shared" si="2"/>
        <v>-4088.430556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13"/>
      <c r="B127" s="184">
        <v>17.0</v>
      </c>
      <c r="C127" s="185">
        <v>44742.0</v>
      </c>
      <c r="D127" s="184">
        <f t="shared" si="11"/>
        <v>6</v>
      </c>
      <c r="E127" s="186">
        <v>17.0</v>
      </c>
      <c r="F127" s="186" t="str">
        <f>IFERROR(VLOOKUP(E127,Bar!$B:$C,2,0),"")</f>
        <v>Pan de Campo </v>
      </c>
      <c r="G127" s="184">
        <v>8.0</v>
      </c>
      <c r="H127" s="184">
        <f>IFERROR(IFERROR(VLOOKUP(E127,Bar!$B:$D,3,0),"")*G127,"")</f>
        <v>5484</v>
      </c>
      <c r="I127" s="184">
        <v>2400.0</v>
      </c>
      <c r="J127" s="184">
        <f t="shared" si="2"/>
        <v>-3084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13"/>
      <c r="B128" s="172">
        <v>18.0</v>
      </c>
      <c r="C128" s="173">
        <v>44747.0</v>
      </c>
      <c r="D128" s="172">
        <f t="shared" si="11"/>
        <v>7</v>
      </c>
      <c r="E128" s="174">
        <v>8.0</v>
      </c>
      <c r="F128" s="174" t="str">
        <f>IFERROR(VLOOKUP(E128,Bar!$B:$C,2,0),"")</f>
        <v>Cheese Cake Frutos rojos</v>
      </c>
      <c r="G128" s="172">
        <v>5.0</v>
      </c>
      <c r="H128" s="172">
        <f>IFERROR(IFERROR(VLOOKUP(E128,Bar!$B:$D,3,0),"")*G128,"")</f>
        <v>12708.27653</v>
      </c>
      <c r="I128" s="172">
        <v>1500.0</v>
      </c>
      <c r="J128" s="172">
        <f t="shared" si="2"/>
        <v>-11208.27653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13"/>
      <c r="B129" s="184">
        <v>18.0</v>
      </c>
      <c r="C129" s="185">
        <f>IFERROR(IF(B129=B128,C128,""),"")</f>
        <v>44747</v>
      </c>
      <c r="D129" s="184">
        <f t="shared" si="11"/>
        <v>7</v>
      </c>
      <c r="E129" s="186">
        <v>17.0</v>
      </c>
      <c r="F129" s="186" t="str">
        <f>IFERROR(VLOOKUP(E129,Bar!$B:$C,2,0),"")</f>
        <v>Pan de Campo </v>
      </c>
      <c r="G129" s="184">
        <v>8.0</v>
      </c>
      <c r="H129" s="184">
        <f>IFERROR(IFERROR(VLOOKUP(E129,Bar!$B:$D,3,0),"")*G129,"")</f>
        <v>5484</v>
      </c>
      <c r="I129" s="184">
        <v>2400.0</v>
      </c>
      <c r="J129" s="184">
        <f t="shared" si="2"/>
        <v>-3084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13"/>
      <c r="B130" s="172">
        <v>19.0</v>
      </c>
      <c r="C130" s="173">
        <v>44748.0</v>
      </c>
      <c r="D130" s="172">
        <f t="shared" si="11"/>
        <v>7</v>
      </c>
      <c r="E130" s="174">
        <v>10.0</v>
      </c>
      <c r="F130" s="174" t="str">
        <f>IFERROR(VLOOKUP(E130,Bar!$B:$C,2,0),"")</f>
        <v>Apple Crumble</v>
      </c>
      <c r="G130" s="172">
        <v>9.0</v>
      </c>
      <c r="H130" s="172">
        <f>IFERROR(IFERROR(VLOOKUP(E130,Bar!$B:$D,3,0),"")*G130,"")</f>
        <v>10059.175</v>
      </c>
      <c r="I130" s="172">
        <v>2700.0</v>
      </c>
      <c r="J130" s="172">
        <f t="shared" si="2"/>
        <v>-7359.175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13"/>
      <c r="B131" s="184">
        <v>19.0</v>
      </c>
      <c r="C131" s="185">
        <f>IFERROR(IF(B131=B130,C130,""),"")</f>
        <v>44748</v>
      </c>
      <c r="D131" s="184">
        <f t="shared" si="11"/>
        <v>7</v>
      </c>
      <c r="E131" s="186">
        <v>6.0</v>
      </c>
      <c r="F131" s="186" t="str">
        <f>IFERROR(VLOOKUP(E131,Bar!$B:$C,2,0),"")</f>
        <v>Browrnie Oreo</v>
      </c>
      <c r="G131" s="184">
        <v>10.0</v>
      </c>
      <c r="H131" s="184">
        <f>IFERROR(IFERROR(VLOOKUP(E131,Bar!$B:$D,3,0),"")*G131,"")</f>
        <v>24288.87963</v>
      </c>
      <c r="I131" s="184">
        <v>3000.0</v>
      </c>
      <c r="J131" s="184">
        <f t="shared" si="2"/>
        <v>-21288.87963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3"/>
      <c r="B132" s="172">
        <v>20.0</v>
      </c>
      <c r="C132" s="173">
        <v>44750.0</v>
      </c>
      <c r="D132" s="172">
        <f t="shared" si="11"/>
        <v>7</v>
      </c>
      <c r="E132" s="174">
        <v>10.0</v>
      </c>
      <c r="F132" s="174" t="str">
        <f>IFERROR(VLOOKUP(E132,Bar!$B:$C,2,0),"")</f>
        <v>Apple Crumble</v>
      </c>
      <c r="G132" s="172">
        <v>6.0</v>
      </c>
      <c r="H132" s="172">
        <f>IFERROR(IFERROR(VLOOKUP(E132,Bar!$B:$D,3,0),"")*G132,"")</f>
        <v>6706.116667</v>
      </c>
      <c r="I132" s="172">
        <v>1800.0</v>
      </c>
      <c r="J132" s="172">
        <f t="shared" si="2"/>
        <v>-4906.116667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13"/>
      <c r="B133" s="175">
        <v>20.0</v>
      </c>
      <c r="C133" s="176">
        <f t="shared" ref="C133:C134" si="19">IFERROR(IF(B133=B132,C132,""),"")</f>
        <v>44750</v>
      </c>
      <c r="D133" s="175">
        <f t="shared" si="11"/>
        <v>7</v>
      </c>
      <c r="E133" s="177">
        <v>9.0</v>
      </c>
      <c r="F133" s="177" t="str">
        <f>IFERROR(VLOOKUP(E133,Bar!$B:$C,2,0),"")</f>
        <v>Torta Oreo</v>
      </c>
      <c r="G133" s="175">
        <v>12.0</v>
      </c>
      <c r="H133" s="175">
        <f>IFERROR(IFERROR(VLOOKUP(E133,Bar!$B:$D,3,0),"")*G133,"")</f>
        <v>35830</v>
      </c>
      <c r="I133" s="175">
        <v>3600.0</v>
      </c>
      <c r="J133" s="175">
        <f t="shared" si="2"/>
        <v>-32230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3"/>
      <c r="B134" s="184">
        <v>20.0</v>
      </c>
      <c r="C134" s="185">
        <f t="shared" si="19"/>
        <v>44750</v>
      </c>
      <c r="D134" s="184">
        <f t="shared" si="11"/>
        <v>7</v>
      </c>
      <c r="E134" s="186">
        <v>17.0</v>
      </c>
      <c r="F134" s="186" t="str">
        <f>IFERROR(VLOOKUP(E134,Bar!$B:$C,2,0),"")</f>
        <v>Pan de Campo </v>
      </c>
      <c r="G134" s="184">
        <v>12.0</v>
      </c>
      <c r="H134" s="184">
        <f>IFERROR(IFERROR(VLOOKUP(E134,Bar!$B:$D,3,0),"")*G134,"")</f>
        <v>8226</v>
      </c>
      <c r="I134" s="184">
        <v>3600.0</v>
      </c>
      <c r="J134" s="184">
        <f t="shared" si="2"/>
        <v>-4626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3"/>
      <c r="B135" s="172">
        <v>21.0</v>
      </c>
      <c r="C135" s="173">
        <v>44752.0</v>
      </c>
      <c r="D135" s="172">
        <f t="shared" si="11"/>
        <v>7</v>
      </c>
      <c r="E135" s="174">
        <v>17.0</v>
      </c>
      <c r="F135" s="174" t="str">
        <f>IFERROR(VLOOKUP(E135,Bar!$B:$C,2,0),"")</f>
        <v>Pan de Campo </v>
      </c>
      <c r="G135" s="172">
        <v>7.0</v>
      </c>
      <c r="H135" s="172">
        <f>IFERROR(IFERROR(VLOOKUP(E135,Bar!$B:$D,3,0),"")*G135,"")</f>
        <v>4798.5</v>
      </c>
      <c r="I135" s="172">
        <v>2100.0</v>
      </c>
      <c r="J135" s="172">
        <f t="shared" si="2"/>
        <v>-2698.5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3"/>
      <c r="B136" s="175">
        <v>21.0</v>
      </c>
      <c r="C136" s="176">
        <f t="shared" ref="C136:C137" si="20">IFERROR(IF(B136=B135,C135,""),"")</f>
        <v>44752</v>
      </c>
      <c r="D136" s="175">
        <f t="shared" si="11"/>
        <v>7</v>
      </c>
      <c r="E136" s="177">
        <v>6.0</v>
      </c>
      <c r="F136" s="177" t="str">
        <f>IFERROR(VLOOKUP(E136,Bar!$B:$C,2,0),"")</f>
        <v>Browrnie Oreo</v>
      </c>
      <c r="G136" s="175">
        <v>3.0</v>
      </c>
      <c r="H136" s="175">
        <f>IFERROR(IFERROR(VLOOKUP(E136,Bar!$B:$D,3,0),"")*G136,"")</f>
        <v>7286.663889</v>
      </c>
      <c r="I136" s="175">
        <v>900.0</v>
      </c>
      <c r="J136" s="175">
        <f t="shared" si="2"/>
        <v>-6386.663889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3"/>
      <c r="B137" s="184">
        <v>21.0</v>
      </c>
      <c r="C137" s="185">
        <f t="shared" si="20"/>
        <v>44752</v>
      </c>
      <c r="D137" s="184">
        <f t="shared" si="11"/>
        <v>7</v>
      </c>
      <c r="E137" s="186">
        <v>10.0</v>
      </c>
      <c r="F137" s="186" t="str">
        <f>IFERROR(VLOOKUP(E137,Bar!$B:$C,2,0),"")</f>
        <v>Apple Crumble</v>
      </c>
      <c r="G137" s="184">
        <v>7.0</v>
      </c>
      <c r="H137" s="184">
        <f>IFERROR(IFERROR(VLOOKUP(E137,Bar!$B:$D,3,0),"")*G137,"")</f>
        <v>7823.802778</v>
      </c>
      <c r="I137" s="184">
        <v>2100.0</v>
      </c>
      <c r="J137" s="184">
        <f t="shared" si="2"/>
        <v>-5723.802778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3"/>
      <c r="B138" s="175">
        <v>22.0</v>
      </c>
      <c r="C138" s="176">
        <v>44754.0</v>
      </c>
      <c r="D138" s="175">
        <f t="shared" si="11"/>
        <v>7</v>
      </c>
      <c r="E138" s="177">
        <v>8.0</v>
      </c>
      <c r="F138" s="177" t="str">
        <f>IFERROR(VLOOKUP(E138,Bar!$B:$C,2,0),"")</f>
        <v>Cheese Cake Frutos rojos</v>
      </c>
      <c r="G138" s="175">
        <v>6.0</v>
      </c>
      <c r="H138" s="175">
        <f>IFERROR(IFERROR(VLOOKUP(E138,Bar!$B:$D,3,0),"")*G138,"")</f>
        <v>15249.93184</v>
      </c>
      <c r="I138" s="175">
        <v>1800.0</v>
      </c>
      <c r="J138" s="175">
        <f t="shared" si="2"/>
        <v>-13449.93184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3"/>
      <c r="B139" s="175">
        <v>22.0</v>
      </c>
      <c r="C139" s="176">
        <v>44754.0</v>
      </c>
      <c r="D139" s="175">
        <f t="shared" si="11"/>
        <v>7</v>
      </c>
      <c r="E139" s="177">
        <v>10.0</v>
      </c>
      <c r="F139" s="177" t="str">
        <f>IFERROR(VLOOKUP(E139,Bar!$B:$C,2,0),"")</f>
        <v>Apple Crumble</v>
      </c>
      <c r="G139" s="175">
        <v>6.0</v>
      </c>
      <c r="H139" s="175">
        <f>IFERROR(IFERROR(VLOOKUP(E139,Bar!$B:$D,3,0),"")*G139,"")</f>
        <v>6706.116667</v>
      </c>
      <c r="I139" s="175">
        <v>1800.0</v>
      </c>
      <c r="J139" s="175">
        <f t="shared" si="2"/>
        <v>-4906.116667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3"/>
      <c r="B140" s="184">
        <v>22.0</v>
      </c>
      <c r="C140" s="185">
        <f>IFERROR(IF(B140=B139,C139,""),"")</f>
        <v>44754</v>
      </c>
      <c r="D140" s="184">
        <f t="shared" si="11"/>
        <v>7</v>
      </c>
      <c r="E140" s="186">
        <v>5.0</v>
      </c>
      <c r="F140" s="186" t="str">
        <f>IFERROR(VLOOKUP(E140,Bar!$B:$C,2,0),"")</f>
        <v>Lemon Pie</v>
      </c>
      <c r="G140" s="184">
        <v>6.0</v>
      </c>
      <c r="H140" s="184">
        <f>IFERROR(IFERROR(VLOOKUP(E140,Bar!$B:$D,3,0),"")*G140,"")</f>
        <v>9123.533333</v>
      </c>
      <c r="I140" s="184">
        <v>1800.0</v>
      </c>
      <c r="J140" s="184">
        <f t="shared" si="2"/>
        <v>-7323.533333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3"/>
      <c r="B141" s="184">
        <v>23.0</v>
      </c>
      <c r="C141" s="185">
        <v>44755.0</v>
      </c>
      <c r="D141" s="184">
        <f t="shared" si="11"/>
        <v>7</v>
      </c>
      <c r="E141" s="186">
        <v>16.0</v>
      </c>
      <c r="F141" s="186" t="str">
        <f>IFERROR(VLOOKUP(E141,Bar!$B:$C,2,0),"")</f>
        <v>Torta cumpleaños Selva Negra 20cm</v>
      </c>
      <c r="G141" s="184">
        <v>3.0</v>
      </c>
      <c r="H141" s="184">
        <f>IFERROR(IFERROR(VLOOKUP(E141,Bar!$B:$D,3,0),"")*G141,"")</f>
        <v>27279.6</v>
      </c>
      <c r="I141" s="184">
        <v>450.0</v>
      </c>
      <c r="J141" s="184">
        <f t="shared" si="2"/>
        <v>-26829.6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3"/>
      <c r="B142" s="175">
        <v>24.0</v>
      </c>
      <c r="C142" s="176">
        <v>44758.0</v>
      </c>
      <c r="D142" s="175">
        <f t="shared" si="11"/>
        <v>7</v>
      </c>
      <c r="E142" s="177">
        <v>8.0</v>
      </c>
      <c r="F142" s="177" t="str">
        <f>IFERROR(VLOOKUP(E142,Bar!$B:$C,2,0),"")</f>
        <v>Cheese Cake Frutos rojos</v>
      </c>
      <c r="G142" s="175">
        <v>5.0</v>
      </c>
      <c r="H142" s="175">
        <f>IFERROR(IFERROR(VLOOKUP(E142,Bar!$B:$D,3,0),"")*G142,"")</f>
        <v>12708.27653</v>
      </c>
      <c r="I142" s="175">
        <v>1500.0</v>
      </c>
      <c r="J142" s="175">
        <f t="shared" si="2"/>
        <v>-11208.27653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3"/>
      <c r="B143" s="175">
        <v>24.0</v>
      </c>
      <c r="C143" s="176">
        <f t="shared" ref="C143:C145" si="21">IFERROR(IF(B143=B142,C142,""),"")</f>
        <v>44758</v>
      </c>
      <c r="D143" s="175">
        <f t="shared" si="11"/>
        <v>7</v>
      </c>
      <c r="E143" s="177">
        <v>6.0</v>
      </c>
      <c r="F143" s="177" t="str">
        <f>IFERROR(VLOOKUP(E143,Bar!$B:$C,2,0),"")</f>
        <v>Browrnie Oreo</v>
      </c>
      <c r="G143" s="175">
        <v>4.0</v>
      </c>
      <c r="H143" s="175">
        <f>IFERROR(IFERROR(VLOOKUP(E143,Bar!$B:$D,3,0),"")*G143,"")</f>
        <v>9715.551852</v>
      </c>
      <c r="I143" s="175">
        <v>1200.0</v>
      </c>
      <c r="J143" s="175">
        <f t="shared" si="2"/>
        <v>-8515.551852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3"/>
      <c r="B144" s="175">
        <v>24.0</v>
      </c>
      <c r="C144" s="176">
        <f t="shared" si="21"/>
        <v>44758</v>
      </c>
      <c r="D144" s="175">
        <f t="shared" si="11"/>
        <v>7</v>
      </c>
      <c r="E144" s="177">
        <v>9.0</v>
      </c>
      <c r="F144" s="177" t="str">
        <f>IFERROR(VLOOKUP(E144,Bar!$B:$C,2,0),"")</f>
        <v>Torta Oreo</v>
      </c>
      <c r="G144" s="175">
        <v>6.0</v>
      </c>
      <c r="H144" s="175">
        <f>IFERROR(IFERROR(VLOOKUP(E144,Bar!$B:$D,3,0),"")*G144,"")</f>
        <v>17915</v>
      </c>
      <c r="I144" s="175">
        <v>1800.0</v>
      </c>
      <c r="J144" s="175">
        <f t="shared" si="2"/>
        <v>-16115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3"/>
      <c r="B145" s="184">
        <v>24.0</v>
      </c>
      <c r="C145" s="185">
        <f t="shared" si="21"/>
        <v>44758</v>
      </c>
      <c r="D145" s="184">
        <f t="shared" si="11"/>
        <v>7</v>
      </c>
      <c r="E145" s="186">
        <v>5.0</v>
      </c>
      <c r="F145" s="186" t="s">
        <v>762</v>
      </c>
      <c r="G145" s="184">
        <v>2.0</v>
      </c>
      <c r="H145" s="184">
        <f>IFERROR(IFERROR(VLOOKUP(E145,Bar!$B:$D,3,0),"")*G145,"")</f>
        <v>3041.177778</v>
      </c>
      <c r="I145" s="184">
        <v>600.0</v>
      </c>
      <c r="J145" s="184">
        <f t="shared" si="2"/>
        <v>-2441.177778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3"/>
      <c r="B146" s="175">
        <v>25.0</v>
      </c>
      <c r="C146" s="176">
        <v>44761.0</v>
      </c>
      <c r="D146" s="175">
        <f t="shared" si="11"/>
        <v>7</v>
      </c>
      <c r="E146" s="177">
        <v>9.0</v>
      </c>
      <c r="F146" s="177" t="str">
        <f>IFERROR(VLOOKUP(E146,Bar!$B:$C,2,0),"")</f>
        <v>Torta Oreo</v>
      </c>
      <c r="G146" s="175">
        <v>7.0</v>
      </c>
      <c r="H146" s="175">
        <f>IFERROR(IFERROR(VLOOKUP(E146,Bar!$B:$D,3,0),"")*G146,"")</f>
        <v>20900.83333</v>
      </c>
      <c r="I146" s="175">
        <v>2100.0</v>
      </c>
      <c r="J146" s="175">
        <f t="shared" si="2"/>
        <v>-18800.83333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3"/>
      <c r="B147" s="175">
        <v>25.0</v>
      </c>
      <c r="C147" s="176">
        <f t="shared" ref="C147:C148" si="22">IFERROR(IF(B147=B146,C146,""),"")</f>
        <v>44761</v>
      </c>
      <c r="D147" s="175">
        <f t="shared" si="11"/>
        <v>7</v>
      </c>
      <c r="E147" s="177">
        <v>6.0</v>
      </c>
      <c r="F147" s="177" t="str">
        <f>IFERROR(VLOOKUP(E147,Bar!$B:$C,2,0),"")</f>
        <v>Browrnie Oreo</v>
      </c>
      <c r="G147" s="175">
        <v>10.0</v>
      </c>
      <c r="H147" s="175">
        <f>IFERROR(IFERROR(VLOOKUP(E147,Bar!$B:$D,3,0),"")*G147,"")</f>
        <v>24288.87963</v>
      </c>
      <c r="I147" s="175">
        <v>3000.0</v>
      </c>
      <c r="J147" s="175">
        <f t="shared" si="2"/>
        <v>-21288.87963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3"/>
      <c r="B148" s="184">
        <v>25.0</v>
      </c>
      <c r="C148" s="185">
        <f t="shared" si="22"/>
        <v>44761</v>
      </c>
      <c r="D148" s="184">
        <f t="shared" si="11"/>
        <v>7</v>
      </c>
      <c r="E148" s="186">
        <v>7.0</v>
      </c>
      <c r="F148" s="186" t="str">
        <f>IFERROR(VLOOKUP(E148,Bar!$B:$C,2,0),"")</f>
        <v>Chocotorta</v>
      </c>
      <c r="G148" s="184">
        <v>14.0</v>
      </c>
      <c r="H148" s="184">
        <f>IFERROR(IFERROR(VLOOKUP(E148,Bar!$B:$D,3,0),"")*G148,"")</f>
        <v>39441.66667</v>
      </c>
      <c r="I148" s="184">
        <v>4200.0</v>
      </c>
      <c r="J148" s="184">
        <f t="shared" si="2"/>
        <v>-35241.66667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3"/>
      <c r="B149" s="175">
        <v>26.0</v>
      </c>
      <c r="C149" s="176">
        <v>44762.0</v>
      </c>
      <c r="D149" s="175">
        <f t="shared" si="11"/>
        <v>7</v>
      </c>
      <c r="E149" s="177">
        <v>10.0</v>
      </c>
      <c r="F149" s="177" t="str">
        <f>IFERROR(VLOOKUP(E149,Bar!$B:$C,2,0),"")</f>
        <v>Apple Crumble</v>
      </c>
      <c r="G149" s="175">
        <v>9.0</v>
      </c>
      <c r="H149" s="175">
        <f>IFERROR(IFERROR(VLOOKUP(E149,Bar!$B:$D,3,0),"")*G149,"")</f>
        <v>10059.175</v>
      </c>
      <c r="I149" s="175">
        <v>2700.0</v>
      </c>
      <c r="J149" s="175">
        <f t="shared" si="2"/>
        <v>-7359.175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3"/>
      <c r="B150" s="175">
        <v>26.0</v>
      </c>
      <c r="C150" s="176">
        <f t="shared" ref="C150:C153" si="23">IFERROR(IF(B150=B149,C149,""),"")</f>
        <v>44762</v>
      </c>
      <c r="D150" s="175">
        <f t="shared" si="11"/>
        <v>7</v>
      </c>
      <c r="E150" s="177">
        <v>6.0</v>
      </c>
      <c r="F150" s="177" t="str">
        <f>IFERROR(VLOOKUP(E150,Bar!$B:$C,2,0),"")</f>
        <v>Browrnie Oreo</v>
      </c>
      <c r="G150" s="175">
        <v>6.0</v>
      </c>
      <c r="H150" s="175">
        <f>IFERROR(IFERROR(VLOOKUP(E150,Bar!$B:$D,3,0),"")*G150,"")</f>
        <v>14573.32778</v>
      </c>
      <c r="I150" s="175">
        <v>1800.0</v>
      </c>
      <c r="J150" s="175">
        <f t="shared" si="2"/>
        <v>-12773.32778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3"/>
      <c r="B151" s="175">
        <v>26.0</v>
      </c>
      <c r="C151" s="176">
        <f t="shared" si="23"/>
        <v>44762</v>
      </c>
      <c r="D151" s="175">
        <f t="shared" si="11"/>
        <v>7</v>
      </c>
      <c r="E151" s="177">
        <v>5.0</v>
      </c>
      <c r="F151" s="177" t="str">
        <f>IFERROR(VLOOKUP(E151,Bar!$B:$C,2,0),"")</f>
        <v>Lemon Pie</v>
      </c>
      <c r="G151" s="175">
        <v>9.0</v>
      </c>
      <c r="H151" s="175">
        <f>IFERROR(IFERROR(VLOOKUP(E151,Bar!$B:$D,3,0),"")*G151,"")</f>
        <v>13685.3</v>
      </c>
      <c r="I151" s="175">
        <v>2700.0</v>
      </c>
      <c r="J151" s="175">
        <f t="shared" si="2"/>
        <v>-10985.3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3"/>
      <c r="B152" s="175">
        <v>26.0</v>
      </c>
      <c r="C152" s="176">
        <f t="shared" si="23"/>
        <v>44762</v>
      </c>
      <c r="D152" s="175">
        <f t="shared" si="11"/>
        <v>7</v>
      </c>
      <c r="E152" s="177">
        <v>17.0</v>
      </c>
      <c r="F152" s="177" t="str">
        <f>IFERROR(VLOOKUP(E152,Bar!$B:$C,2,0),"")</f>
        <v>Pan de Campo </v>
      </c>
      <c r="G152" s="175">
        <v>12.0</v>
      </c>
      <c r="H152" s="175">
        <f>IFERROR(IFERROR(VLOOKUP(E152,Bar!$B:$D,3,0),"")*G152,"")</f>
        <v>8226</v>
      </c>
      <c r="I152" s="175">
        <v>3600.0</v>
      </c>
      <c r="J152" s="175">
        <f t="shared" si="2"/>
        <v>-4626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3"/>
      <c r="B153" s="184">
        <v>26.0</v>
      </c>
      <c r="C153" s="185">
        <f t="shared" si="23"/>
        <v>44762</v>
      </c>
      <c r="D153" s="184">
        <v>7.0</v>
      </c>
      <c r="E153" s="186">
        <v>9.0</v>
      </c>
      <c r="F153" s="184" t="str">
        <f>IFERROR(VLOOKUP(E153,Bar!$B:$C,2,0),"")</f>
        <v>Torta Oreo</v>
      </c>
      <c r="G153" s="184">
        <v>9.0</v>
      </c>
      <c r="H153" s="184">
        <f>IFERROR(IFERROR(VLOOKUP(E153,Bar!$B:$D,3,0),"")*G153,"")</f>
        <v>26872.5</v>
      </c>
      <c r="I153" s="184">
        <v>2700.0</v>
      </c>
      <c r="J153" s="184">
        <f t="shared" si="2"/>
        <v>-24172.5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3"/>
      <c r="B154" s="175">
        <v>27.0</v>
      </c>
      <c r="C154" s="176">
        <v>44765.0</v>
      </c>
      <c r="D154" s="175">
        <v>7.0</v>
      </c>
      <c r="E154" s="177">
        <v>9.0</v>
      </c>
      <c r="F154" s="177" t="str">
        <f>IFERROR(VLOOKUP(E154,Bar!$B:$C,2,0),"")</f>
        <v>Torta Oreo</v>
      </c>
      <c r="G154" s="175">
        <v>12.0</v>
      </c>
      <c r="H154" s="175">
        <f>IFERROR(IFERROR(VLOOKUP(E154,Bar!$B:$D,3,0),"")*G154,"")</f>
        <v>35830</v>
      </c>
      <c r="I154" s="175">
        <v>3600.0</v>
      </c>
      <c r="J154" s="175">
        <f t="shared" si="2"/>
        <v>-32230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3"/>
      <c r="B155" s="175">
        <v>27.0</v>
      </c>
      <c r="C155" s="176">
        <f t="shared" ref="C155:C157" si="24">IFERROR(IF(B155=B154,C154,""),"")</f>
        <v>44765</v>
      </c>
      <c r="D155" s="175">
        <v>7.0</v>
      </c>
      <c r="E155" s="177">
        <v>6.0</v>
      </c>
      <c r="F155" s="177" t="str">
        <f>IFERROR(VLOOKUP(E155,Bar!$B:$C,2,0),"")</f>
        <v>Browrnie Oreo</v>
      </c>
      <c r="G155" s="175">
        <v>12.0</v>
      </c>
      <c r="H155" s="175">
        <f>IFERROR(IFERROR(VLOOKUP(E155,Bar!$B:$D,3,0),"")*G155,"")</f>
        <v>29146.65556</v>
      </c>
      <c r="I155" s="175">
        <v>3600.0</v>
      </c>
      <c r="J155" s="175">
        <f t="shared" si="2"/>
        <v>-25546.65556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3"/>
      <c r="B156" s="175">
        <v>27.0</v>
      </c>
      <c r="C156" s="176">
        <f t="shared" si="24"/>
        <v>44765</v>
      </c>
      <c r="D156" s="175">
        <f t="shared" ref="D156:D158" si="25">IFERROR(MONTH(C156),"")</f>
        <v>7</v>
      </c>
      <c r="E156" s="177">
        <v>5.0</v>
      </c>
      <c r="F156" s="177" t="str">
        <f>IFERROR(VLOOKUP(E156,Bar!$B:$C,2,0),"")</f>
        <v>Lemon Pie</v>
      </c>
      <c r="G156" s="175">
        <v>12.0</v>
      </c>
      <c r="H156" s="175">
        <f>IFERROR(IFERROR(VLOOKUP(E156,Bar!$B:$D,3,0),"")*G156,"")</f>
        <v>18247.06667</v>
      </c>
      <c r="I156" s="175">
        <v>3600.0</v>
      </c>
      <c r="J156" s="175">
        <f t="shared" si="2"/>
        <v>-14647.06667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3"/>
      <c r="B157" s="184">
        <v>27.0</v>
      </c>
      <c r="C157" s="185">
        <f t="shared" si="24"/>
        <v>44765</v>
      </c>
      <c r="D157" s="184">
        <f t="shared" si="25"/>
        <v>7</v>
      </c>
      <c r="E157" s="186">
        <v>17.0</v>
      </c>
      <c r="F157" s="186" t="str">
        <f>IFERROR(VLOOKUP(E157,Bar!$B:$C,2,0),"")</f>
        <v>Pan de Campo </v>
      </c>
      <c r="G157" s="184">
        <v>7.0</v>
      </c>
      <c r="H157" s="184">
        <f>IFERROR(IFERROR(VLOOKUP(E157,Bar!$B:$D,3,0),"")*G157,"")</f>
        <v>4798.5</v>
      </c>
      <c r="I157" s="184">
        <v>2100.0</v>
      </c>
      <c r="J157" s="184">
        <f t="shared" si="2"/>
        <v>-2698.5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3"/>
      <c r="B158" s="175">
        <v>28.0</v>
      </c>
      <c r="C158" s="176">
        <v>44767.0</v>
      </c>
      <c r="D158" s="175">
        <f t="shared" si="25"/>
        <v>7</v>
      </c>
      <c r="E158" s="177">
        <v>6.0</v>
      </c>
      <c r="F158" s="177" t="str">
        <f>IFERROR(VLOOKUP(E158,Bar!$B:$C,2,0),"")</f>
        <v>Browrnie Oreo</v>
      </c>
      <c r="G158" s="175">
        <v>12.0</v>
      </c>
      <c r="H158" s="175">
        <f>IFERROR(IFERROR(VLOOKUP(E158,Bar!$B:$D,3,0),"")*G158,"")</f>
        <v>29146.65556</v>
      </c>
      <c r="I158" s="175">
        <v>3600.0</v>
      </c>
      <c r="J158" s="175">
        <f t="shared" si="2"/>
        <v>-25546.65556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3"/>
      <c r="B159" s="184">
        <v>28.0</v>
      </c>
      <c r="C159" s="185">
        <v>44767.0</v>
      </c>
      <c r="D159" s="184">
        <v>7.0</v>
      </c>
      <c r="E159" s="186">
        <v>10.0</v>
      </c>
      <c r="F159" s="184" t="str">
        <f>IFERROR(VLOOKUP(E159,Bar!$B:$C,2,0),"")</f>
        <v>Apple Crumble</v>
      </c>
      <c r="G159" s="184">
        <v>5.0</v>
      </c>
      <c r="H159" s="184">
        <f>IFERROR(IFERROR(VLOOKUP(E159,Bar!$B:$D,3,0),"")*G159,"")</f>
        <v>5588.430556</v>
      </c>
      <c r="I159" s="184">
        <v>1500.0</v>
      </c>
      <c r="J159" s="184">
        <f t="shared" si="2"/>
        <v>-4088.430556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3"/>
      <c r="B160" s="175">
        <v>29.0</v>
      </c>
      <c r="C160" s="176">
        <v>44769.0</v>
      </c>
      <c r="D160" s="175">
        <f t="shared" ref="D160:D434" si="26">IFERROR(MONTH(C160),"")</f>
        <v>7</v>
      </c>
      <c r="E160" s="177">
        <v>6.0</v>
      </c>
      <c r="F160" s="177" t="str">
        <f>IFERROR(VLOOKUP(E160,Bar!$B:$C,2,0),"")</f>
        <v>Browrnie Oreo</v>
      </c>
      <c r="G160" s="175">
        <v>5.0</v>
      </c>
      <c r="H160" s="175">
        <f>IFERROR(IFERROR(VLOOKUP(E160,Bar!$B:$D,3,0),"")*G160,"")</f>
        <v>12144.43981</v>
      </c>
      <c r="I160" s="175">
        <v>1500.0</v>
      </c>
      <c r="J160" s="175">
        <f t="shared" si="2"/>
        <v>-10644.43981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3"/>
      <c r="B161" s="175">
        <v>29.0</v>
      </c>
      <c r="C161" s="176">
        <f t="shared" ref="C161:C164" si="27">IFERROR(IF(B161=B160,C160,""),"")</f>
        <v>44769</v>
      </c>
      <c r="D161" s="175">
        <f t="shared" si="26"/>
        <v>7</v>
      </c>
      <c r="E161" s="177">
        <v>5.0</v>
      </c>
      <c r="F161" s="177" t="str">
        <f>IFERROR(VLOOKUP(E161,Bar!$B:$C,2,0),"")</f>
        <v>Lemon Pie</v>
      </c>
      <c r="G161" s="175">
        <v>8.0</v>
      </c>
      <c r="H161" s="175">
        <f>IFERROR(IFERROR(VLOOKUP(E161,Bar!$B:$D,3,0),"")*G161,"")</f>
        <v>12164.71111</v>
      </c>
      <c r="I161" s="175">
        <v>2400.0</v>
      </c>
      <c r="J161" s="175">
        <f t="shared" si="2"/>
        <v>-9764.711111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3"/>
      <c r="B162" s="175">
        <v>29.0</v>
      </c>
      <c r="C162" s="176">
        <f t="shared" si="27"/>
        <v>44769</v>
      </c>
      <c r="D162" s="175">
        <f t="shared" si="26"/>
        <v>7</v>
      </c>
      <c r="E162" s="177">
        <v>9.0</v>
      </c>
      <c r="F162" s="177" t="str">
        <f>IFERROR(VLOOKUP(E162,Bar!$B:$C,2,0),"")</f>
        <v>Torta Oreo</v>
      </c>
      <c r="G162" s="175">
        <v>8.0</v>
      </c>
      <c r="H162" s="175">
        <f>IFERROR(IFERROR(VLOOKUP(E162,Bar!$B:$D,3,0),"")*G162,"")</f>
        <v>23886.66667</v>
      </c>
      <c r="I162" s="175">
        <v>2400.0</v>
      </c>
      <c r="J162" s="175">
        <f t="shared" si="2"/>
        <v>-21486.66667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3"/>
      <c r="B163" s="175">
        <v>29.0</v>
      </c>
      <c r="C163" s="176">
        <f t="shared" si="27"/>
        <v>44769</v>
      </c>
      <c r="D163" s="175">
        <f t="shared" si="26"/>
        <v>7</v>
      </c>
      <c r="E163" s="177">
        <v>8.0</v>
      </c>
      <c r="F163" s="177" t="str">
        <f>IFERROR(VLOOKUP(E163,Bar!$B:$C,2,0),"")</f>
        <v>Cheese Cake Frutos rojos</v>
      </c>
      <c r="G163" s="175">
        <v>8.0</v>
      </c>
      <c r="H163" s="175">
        <f>IFERROR(IFERROR(VLOOKUP(E163,Bar!$B:$D,3,0),"")*G163,"")</f>
        <v>20333.24245</v>
      </c>
      <c r="I163" s="175">
        <v>2400.0</v>
      </c>
      <c r="J163" s="175">
        <f t="shared" si="2"/>
        <v>-17933.24245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3"/>
      <c r="B164" s="184">
        <v>29.0</v>
      </c>
      <c r="C164" s="185">
        <f t="shared" si="27"/>
        <v>44769</v>
      </c>
      <c r="D164" s="184">
        <f t="shared" si="26"/>
        <v>7</v>
      </c>
      <c r="E164" s="186">
        <v>18.0</v>
      </c>
      <c r="F164" s="184" t="str">
        <f>IFERROR(VLOOKUP(E164,Bar!$B:$C,2,0),"")</f>
        <v>cookies chips de chocolate x 12</v>
      </c>
      <c r="G164" s="184">
        <v>1.0</v>
      </c>
      <c r="H164" s="184">
        <f>IFERROR(IFERROR(VLOOKUP(E164,Bar!$B:$D,3,0),"")*G164,"")</f>
        <v>0</v>
      </c>
      <c r="I164" s="184">
        <v>840.0</v>
      </c>
      <c r="J164" s="184">
        <f t="shared" si="2"/>
        <v>840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3"/>
      <c r="B165" s="175">
        <v>30.0</v>
      </c>
      <c r="C165" s="176">
        <v>44771.0</v>
      </c>
      <c r="D165" s="175">
        <f t="shared" si="26"/>
        <v>7</v>
      </c>
      <c r="E165" s="177">
        <v>8.0</v>
      </c>
      <c r="F165" s="177" t="str">
        <f>IFERROR(VLOOKUP(E165,Bar!$B:$C,2,0),"")</f>
        <v>Cheese Cake Frutos rojos</v>
      </c>
      <c r="G165" s="175">
        <v>15.0</v>
      </c>
      <c r="H165" s="175">
        <f>IFERROR(IFERROR(VLOOKUP(E165,Bar!$B:$D,3,0),"")*G165,"")</f>
        <v>38124.8296</v>
      </c>
      <c r="I165" s="175">
        <v>4500.0</v>
      </c>
      <c r="J165" s="175">
        <f t="shared" si="2"/>
        <v>-33624.8296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3"/>
      <c r="B166" s="175">
        <v>30.0</v>
      </c>
      <c r="C166" s="176">
        <f t="shared" ref="C166:C168" si="28">IFERROR(IF(B166=B165,C165,""),"")</f>
        <v>44771</v>
      </c>
      <c r="D166" s="175">
        <f t="shared" si="26"/>
        <v>7</v>
      </c>
      <c r="E166" s="177">
        <v>6.0</v>
      </c>
      <c r="F166" s="177" t="str">
        <f>IFERROR(VLOOKUP(E166,Bar!$B:$C,2,0),"")</f>
        <v>Browrnie Oreo</v>
      </c>
      <c r="G166" s="175">
        <v>12.0</v>
      </c>
      <c r="H166" s="175">
        <f>IFERROR(IFERROR(VLOOKUP(E166,Bar!$B:$D,3,0),"")*G166,"")</f>
        <v>29146.65556</v>
      </c>
      <c r="I166" s="175">
        <v>3600.0</v>
      </c>
      <c r="J166" s="175">
        <f t="shared" si="2"/>
        <v>-25546.65556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3"/>
      <c r="B167" s="175">
        <v>30.0</v>
      </c>
      <c r="C167" s="176">
        <f t="shared" si="28"/>
        <v>44771</v>
      </c>
      <c r="D167" s="175">
        <f t="shared" si="26"/>
        <v>7</v>
      </c>
      <c r="E167" s="177">
        <v>9.0</v>
      </c>
      <c r="F167" s="177" t="str">
        <f>IFERROR(VLOOKUP(E167,Bar!$B:$C,2,0),"")</f>
        <v>Torta Oreo</v>
      </c>
      <c r="G167" s="175">
        <v>11.0</v>
      </c>
      <c r="H167" s="175">
        <f>IFERROR(IFERROR(VLOOKUP(E167,Bar!$B:$D,3,0),"")*G167,"")</f>
        <v>32844.16667</v>
      </c>
      <c r="I167" s="175">
        <v>3300.0</v>
      </c>
      <c r="J167" s="175">
        <f t="shared" si="2"/>
        <v>-29544.16667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3"/>
      <c r="B168" s="184">
        <v>30.0</v>
      </c>
      <c r="C168" s="185">
        <f t="shared" si="28"/>
        <v>44771</v>
      </c>
      <c r="D168" s="184">
        <f t="shared" si="26"/>
        <v>7</v>
      </c>
      <c r="E168" s="186">
        <v>5.0</v>
      </c>
      <c r="F168" s="184" t="str">
        <f>IFERROR(VLOOKUP(E168,Bar!$B:$C,2,0),"")</f>
        <v>Lemon Pie</v>
      </c>
      <c r="G168" s="186">
        <v>7.0</v>
      </c>
      <c r="H168" s="184">
        <f>IFERROR(IFERROR(VLOOKUP(E168,Bar!$B:$D,3,0),"")*G168,"")</f>
        <v>10644.12222</v>
      </c>
      <c r="I168" s="184">
        <v>2100.0</v>
      </c>
      <c r="J168" s="184">
        <f t="shared" si="2"/>
        <v>-8544.122222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3"/>
      <c r="B169" s="175">
        <v>31.0</v>
      </c>
      <c r="C169" s="176">
        <v>44774.0</v>
      </c>
      <c r="D169" s="175">
        <f t="shared" si="26"/>
        <v>8</v>
      </c>
      <c r="E169" s="177">
        <v>1.0</v>
      </c>
      <c r="F169" s="177" t="str">
        <f>IFERROR(VLOOKUP(E169,Bar!$B:$C,2,0),"")</f>
        <v>Budín Limón</v>
      </c>
      <c r="G169" s="175">
        <v>1.0</v>
      </c>
      <c r="H169" s="175">
        <f>IFERROR(IFERROR(VLOOKUP(E169,Bar!$B:$D,3,0),"")*G169,"")</f>
        <v>5558.066667</v>
      </c>
      <c r="I169" s="175">
        <v>1000.0</v>
      </c>
      <c r="J169" s="175">
        <f t="shared" si="2"/>
        <v>-4558.066667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3"/>
      <c r="B170" s="175">
        <v>31.0</v>
      </c>
      <c r="C170" s="176">
        <f t="shared" ref="C170:C171" si="29">IFERROR(IF(B170=B169,C169,""),"")</f>
        <v>44774</v>
      </c>
      <c r="D170" s="175">
        <f t="shared" si="26"/>
        <v>8</v>
      </c>
      <c r="E170" s="177">
        <v>10.0</v>
      </c>
      <c r="F170" s="177" t="str">
        <f>IFERROR(VLOOKUP(E170,Bar!$B:$C,2,0),"")</f>
        <v>Apple Crumble</v>
      </c>
      <c r="G170" s="175">
        <v>10.0</v>
      </c>
      <c r="H170" s="175">
        <f>IFERROR(IFERROR(VLOOKUP(E170,Bar!$B:$D,3,0),"")*G170,"")</f>
        <v>11176.86111</v>
      </c>
      <c r="I170" s="175">
        <v>3000.0</v>
      </c>
      <c r="J170" s="175">
        <f t="shared" si="2"/>
        <v>-8176.861111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3"/>
      <c r="B171" s="175">
        <v>31.0</v>
      </c>
      <c r="C171" s="176">
        <f t="shared" si="29"/>
        <v>44774</v>
      </c>
      <c r="D171" s="175">
        <f t="shared" si="26"/>
        <v>8</v>
      </c>
      <c r="E171" s="177">
        <v>9.0</v>
      </c>
      <c r="F171" s="177" t="str">
        <f>IFERROR(VLOOKUP(E171,Bar!$B:$C,2,0),"")</f>
        <v>Torta Oreo</v>
      </c>
      <c r="G171" s="175">
        <v>6.0</v>
      </c>
      <c r="H171" s="175">
        <f>IFERROR(IFERROR(VLOOKUP(E171,Bar!$B:$D,3,0),"")*G171,"")</f>
        <v>17915</v>
      </c>
      <c r="I171" s="175">
        <v>1800.0</v>
      </c>
      <c r="J171" s="175">
        <f t="shared" si="2"/>
        <v>-16115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3"/>
      <c r="B172" s="172">
        <v>32.0</v>
      </c>
      <c r="C172" s="173">
        <v>44776.0</v>
      </c>
      <c r="D172" s="172">
        <f t="shared" si="26"/>
        <v>8</v>
      </c>
      <c r="E172" s="174">
        <v>5.0</v>
      </c>
      <c r="F172" s="174" t="str">
        <f>IFERROR(VLOOKUP(E172,Bar!$B:$C,2,0),"")</f>
        <v>Lemon Pie</v>
      </c>
      <c r="G172" s="172">
        <v>10.0</v>
      </c>
      <c r="H172" s="172">
        <f>IFERROR(IFERROR(VLOOKUP(E172,Bar!$B:$D,3,0),"")*G172,"")</f>
        <v>15205.88889</v>
      </c>
      <c r="I172" s="172">
        <v>3000.0</v>
      </c>
      <c r="J172" s="172">
        <f t="shared" si="2"/>
        <v>-12205.88889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3"/>
      <c r="B173" s="175">
        <v>32.0</v>
      </c>
      <c r="C173" s="176">
        <f t="shared" ref="C173:C174" si="30">IFERROR(IF(B173=B172,C172,""),"")</f>
        <v>44776</v>
      </c>
      <c r="D173" s="175">
        <f t="shared" si="26"/>
        <v>8</v>
      </c>
      <c r="E173" s="177">
        <v>17.0</v>
      </c>
      <c r="F173" s="177" t="str">
        <f>IFERROR(VLOOKUP(E173,Bar!$B:$C,2,0),"")</f>
        <v>Pan de Campo </v>
      </c>
      <c r="G173" s="175">
        <v>6.0</v>
      </c>
      <c r="H173" s="175">
        <f>IFERROR(IFERROR(VLOOKUP(E173,Bar!$B:$D,3,0),"")*G173,"")</f>
        <v>4113</v>
      </c>
      <c r="I173" s="175">
        <v>1800.0</v>
      </c>
      <c r="J173" s="175">
        <f t="shared" si="2"/>
        <v>-2313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3"/>
      <c r="B174" s="184">
        <v>32.0</v>
      </c>
      <c r="C174" s="185">
        <f t="shared" si="30"/>
        <v>44776</v>
      </c>
      <c r="D174" s="184">
        <f t="shared" si="26"/>
        <v>8</v>
      </c>
      <c r="E174" s="186">
        <v>6.0</v>
      </c>
      <c r="F174" s="186" t="str">
        <f>IFERROR(VLOOKUP(E174,Bar!$B:$C,2,0),"")</f>
        <v>Browrnie Oreo</v>
      </c>
      <c r="G174" s="184">
        <v>8.0</v>
      </c>
      <c r="H174" s="184">
        <f>IFERROR(IFERROR(VLOOKUP(E174,Bar!$B:$D,3,0),"")*G174,"")</f>
        <v>19431.1037</v>
      </c>
      <c r="I174" s="184">
        <v>2400.0</v>
      </c>
      <c r="J174" s="184">
        <f t="shared" si="2"/>
        <v>-17031.1037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3"/>
      <c r="B175" s="175">
        <v>33.0</v>
      </c>
      <c r="C175" s="176">
        <v>44781.0</v>
      </c>
      <c r="D175" s="175">
        <f t="shared" si="26"/>
        <v>8</v>
      </c>
      <c r="E175" s="177">
        <v>7.0</v>
      </c>
      <c r="F175" s="177" t="str">
        <f>IFERROR(VLOOKUP(E175,Bar!$B:$C,2,0),"")</f>
        <v>Chocotorta</v>
      </c>
      <c r="G175" s="175">
        <v>12.0</v>
      </c>
      <c r="H175" s="175">
        <f>IFERROR(IFERROR(VLOOKUP(E175,Bar!$B:$D,3,0),"")*G175,"")</f>
        <v>33807.14286</v>
      </c>
      <c r="I175" s="175">
        <v>3600.0</v>
      </c>
      <c r="J175" s="175">
        <f t="shared" si="2"/>
        <v>-30207.14286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3"/>
      <c r="B176" s="175">
        <v>33.0</v>
      </c>
      <c r="C176" s="176">
        <f t="shared" ref="C176:C178" si="31">IFERROR(IF(B176=B175,C175,""),"")</f>
        <v>44781</v>
      </c>
      <c r="D176" s="175">
        <f t="shared" si="26"/>
        <v>8</v>
      </c>
      <c r="E176" s="177">
        <v>18.0</v>
      </c>
      <c r="F176" s="177" t="str">
        <f>IFERROR(VLOOKUP(E176,Bar!$B:$C,2,0),"")</f>
        <v>cookies chips de chocolate x 12</v>
      </c>
      <c r="G176" s="175">
        <v>1.0</v>
      </c>
      <c r="H176" s="175">
        <f>IFERROR(IFERROR(VLOOKUP(E176,Bar!$B:$D,3,0),"")*G176,"")</f>
        <v>0</v>
      </c>
      <c r="I176" s="175">
        <v>840.0</v>
      </c>
      <c r="J176" s="175">
        <f t="shared" si="2"/>
        <v>840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3"/>
      <c r="B177" s="175">
        <v>33.0</v>
      </c>
      <c r="C177" s="176">
        <f t="shared" si="31"/>
        <v>44781</v>
      </c>
      <c r="D177" s="175">
        <f t="shared" si="26"/>
        <v>8</v>
      </c>
      <c r="E177" s="177">
        <v>9.0</v>
      </c>
      <c r="F177" s="177" t="str">
        <f>IFERROR(VLOOKUP(E177,Bar!$B:$C,2,0),"")</f>
        <v>Torta Oreo</v>
      </c>
      <c r="G177" s="175">
        <v>8.0</v>
      </c>
      <c r="H177" s="175">
        <f>IFERROR(IFERROR(VLOOKUP(E177,Bar!$B:$D,3,0),"")*G177,"")</f>
        <v>23886.66667</v>
      </c>
      <c r="I177" s="175">
        <v>2400.0</v>
      </c>
      <c r="J177" s="175">
        <f t="shared" si="2"/>
        <v>-21486.66667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3"/>
      <c r="B178" s="175">
        <v>33.0</v>
      </c>
      <c r="C178" s="176">
        <f t="shared" si="31"/>
        <v>44781</v>
      </c>
      <c r="D178" s="175">
        <f t="shared" si="26"/>
        <v>8</v>
      </c>
      <c r="E178" s="177">
        <v>6.0</v>
      </c>
      <c r="F178" s="177" t="str">
        <f>IFERROR(VLOOKUP(E178,Bar!$B:$C,2,0),"")</f>
        <v>Browrnie Oreo</v>
      </c>
      <c r="G178" s="175">
        <v>4.0</v>
      </c>
      <c r="H178" s="175">
        <f>IFERROR(IFERROR(VLOOKUP(E178,Bar!$B:$D,3,0),"")*G178,"")</f>
        <v>9715.551852</v>
      </c>
      <c r="I178" s="175">
        <v>1200.0</v>
      </c>
      <c r="J178" s="175">
        <f t="shared" si="2"/>
        <v>-8515.551852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3"/>
      <c r="B179" s="172">
        <v>34.0</v>
      </c>
      <c r="C179" s="173">
        <v>44782.0</v>
      </c>
      <c r="D179" s="172">
        <f t="shared" si="26"/>
        <v>8</v>
      </c>
      <c r="E179" s="174">
        <v>8.0</v>
      </c>
      <c r="F179" s="174" t="str">
        <f>IFERROR(VLOOKUP(E179,Bar!$B:$C,2,0),"")</f>
        <v>Cheese Cake Frutos rojos</v>
      </c>
      <c r="G179" s="172">
        <v>8.0</v>
      </c>
      <c r="H179" s="172">
        <f>IFERROR(IFERROR(VLOOKUP(E179,Bar!$B:$D,3,0),"")*G179,"")</f>
        <v>20333.24245</v>
      </c>
      <c r="I179" s="172">
        <v>2400.0</v>
      </c>
      <c r="J179" s="172">
        <f t="shared" si="2"/>
        <v>-17933.24245</v>
      </c>
      <c r="K179" s="2"/>
      <c r="L179" s="2"/>
      <c r="M179" s="18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3"/>
      <c r="B180" s="175">
        <v>34.0</v>
      </c>
      <c r="C180" s="176">
        <f t="shared" ref="C180:C181" si="32">IFERROR(IF(B180=B179,C179,""),"")</f>
        <v>44782</v>
      </c>
      <c r="D180" s="175">
        <f t="shared" si="26"/>
        <v>8</v>
      </c>
      <c r="E180" s="177">
        <v>10.0</v>
      </c>
      <c r="F180" s="177" t="str">
        <f>IFERROR(VLOOKUP(E180,Bar!$B:$C,2,0),"")</f>
        <v>Apple Crumble</v>
      </c>
      <c r="G180" s="175">
        <v>8.0</v>
      </c>
      <c r="H180" s="175">
        <f>IFERROR(IFERROR(VLOOKUP(E180,Bar!$B:$D,3,0),"")*G180,"")</f>
        <v>8941.488889</v>
      </c>
      <c r="I180" s="175">
        <v>2400.0</v>
      </c>
      <c r="J180" s="175">
        <f t="shared" si="2"/>
        <v>-6541.488889</v>
      </c>
      <c r="K180" s="2"/>
      <c r="L180" s="2"/>
      <c r="M180" s="18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3"/>
      <c r="B181" s="184">
        <v>34.0</v>
      </c>
      <c r="C181" s="185">
        <f t="shared" si="32"/>
        <v>44782</v>
      </c>
      <c r="D181" s="184">
        <f t="shared" si="26"/>
        <v>8</v>
      </c>
      <c r="E181" s="186">
        <v>5.0</v>
      </c>
      <c r="F181" s="186" t="str">
        <f>IFERROR(VLOOKUP(E181,Bar!$B:$C,2,0),"")</f>
        <v>Lemon Pie</v>
      </c>
      <c r="G181" s="184">
        <v>8.0</v>
      </c>
      <c r="H181" s="184">
        <f>IFERROR(IFERROR(VLOOKUP(E181,Bar!$B:$D,3,0),"")*G181,"")</f>
        <v>12164.71111</v>
      </c>
      <c r="I181" s="184">
        <v>2400.0</v>
      </c>
      <c r="J181" s="184">
        <f t="shared" si="2"/>
        <v>-9764.711111</v>
      </c>
      <c r="K181" s="2"/>
      <c r="L181" s="2"/>
      <c r="M181" s="18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3"/>
      <c r="B182" s="175">
        <v>35.0</v>
      </c>
      <c r="C182" s="176">
        <v>44785.0</v>
      </c>
      <c r="D182" s="175">
        <f t="shared" si="26"/>
        <v>8</v>
      </c>
      <c r="E182" s="177">
        <v>8.0</v>
      </c>
      <c r="F182" s="177" t="str">
        <f>IFERROR(VLOOKUP(E182,Bar!$B:$C,2,0),"")</f>
        <v>Cheese Cake Frutos rojos</v>
      </c>
      <c r="G182" s="175">
        <v>2.0</v>
      </c>
      <c r="H182" s="175">
        <f>IFERROR(IFERROR(VLOOKUP(E182,Bar!$B:$D,3,0),"")*G182,"")</f>
        <v>5083.310613</v>
      </c>
      <c r="I182" s="175">
        <v>600.0</v>
      </c>
      <c r="J182" s="175">
        <f t="shared" si="2"/>
        <v>-4483.310613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3"/>
      <c r="B183" s="175">
        <v>35.0</v>
      </c>
      <c r="C183" s="176">
        <f t="shared" ref="C183:C186" si="33">IFERROR(IF(B183=B182,C182,""),"")</f>
        <v>44785</v>
      </c>
      <c r="D183" s="175">
        <f t="shared" si="26"/>
        <v>8</v>
      </c>
      <c r="E183" s="177">
        <v>5.0</v>
      </c>
      <c r="F183" s="177" t="str">
        <f>IFERROR(VLOOKUP(E183,Bar!$B:$C,2,0),"")</f>
        <v>Lemon Pie</v>
      </c>
      <c r="G183" s="175">
        <v>8.0</v>
      </c>
      <c r="H183" s="175">
        <f>IFERROR(IFERROR(VLOOKUP(E183,Bar!$B:$D,3,0),"")*G183,"")</f>
        <v>12164.71111</v>
      </c>
      <c r="I183" s="175">
        <v>2400.0</v>
      </c>
      <c r="J183" s="175">
        <f t="shared" si="2"/>
        <v>-9764.711111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3"/>
      <c r="B184" s="175">
        <v>35.0</v>
      </c>
      <c r="C184" s="176">
        <f t="shared" si="33"/>
        <v>44785</v>
      </c>
      <c r="D184" s="175">
        <f t="shared" si="26"/>
        <v>8</v>
      </c>
      <c r="E184" s="177">
        <v>10.0</v>
      </c>
      <c r="F184" s="177" t="str">
        <f>IFERROR(VLOOKUP(E184,Bar!$B:$C,2,0),"")</f>
        <v>Apple Crumble</v>
      </c>
      <c r="G184" s="175">
        <v>8.0</v>
      </c>
      <c r="H184" s="175">
        <f>IFERROR(IFERROR(VLOOKUP(E184,Bar!$B:$D,3,0),"")*G184,"")</f>
        <v>8941.488889</v>
      </c>
      <c r="I184" s="175">
        <v>2400.0</v>
      </c>
      <c r="J184" s="175">
        <f t="shared" si="2"/>
        <v>-6541.488889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3"/>
      <c r="B185" s="175">
        <v>35.0</v>
      </c>
      <c r="C185" s="176">
        <f t="shared" si="33"/>
        <v>44785</v>
      </c>
      <c r="D185" s="175">
        <f t="shared" si="26"/>
        <v>8</v>
      </c>
      <c r="E185" s="177">
        <v>9.0</v>
      </c>
      <c r="F185" s="177" t="str">
        <f>IFERROR(VLOOKUP(E185,Bar!$B:$C,2,0),"")</f>
        <v>Torta Oreo</v>
      </c>
      <c r="G185" s="175">
        <v>4.0</v>
      </c>
      <c r="H185" s="175">
        <f>IFERROR(IFERROR(VLOOKUP(E185,Bar!$B:$D,3,0),"")*G185,"")</f>
        <v>11943.33333</v>
      </c>
      <c r="I185" s="175">
        <v>1200.0</v>
      </c>
      <c r="J185" s="175">
        <f t="shared" si="2"/>
        <v>-10743.33333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3"/>
      <c r="B186" s="175">
        <v>35.0</v>
      </c>
      <c r="C186" s="176">
        <f t="shared" si="33"/>
        <v>44785</v>
      </c>
      <c r="D186" s="175">
        <f t="shared" si="26"/>
        <v>8</v>
      </c>
      <c r="E186" s="177">
        <v>7.0</v>
      </c>
      <c r="F186" s="177" t="str">
        <f>IFERROR(VLOOKUP(E186,Bar!$B:$C,2,0),"")</f>
        <v>Chocotorta</v>
      </c>
      <c r="G186" s="175">
        <v>4.0</v>
      </c>
      <c r="H186" s="175">
        <f>IFERROR(IFERROR(VLOOKUP(E186,Bar!$B:$D,3,0),"")*G186,"")</f>
        <v>11269.04762</v>
      </c>
      <c r="I186" s="175">
        <v>1200.0</v>
      </c>
      <c r="J186" s="175">
        <f t="shared" si="2"/>
        <v>-10069.04762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3"/>
      <c r="B187" s="172">
        <v>36.0</v>
      </c>
      <c r="C187" s="173">
        <v>44786.0</v>
      </c>
      <c r="D187" s="172">
        <f t="shared" si="26"/>
        <v>8</v>
      </c>
      <c r="E187" s="174">
        <v>9.0</v>
      </c>
      <c r="F187" s="174" t="str">
        <f>IFERROR(VLOOKUP(E187,Bar!$B:$C,2,0),"")</f>
        <v>Torta Oreo</v>
      </c>
      <c r="G187" s="172">
        <v>8.0</v>
      </c>
      <c r="H187" s="172">
        <f>IFERROR(IFERROR(VLOOKUP(E187,Bar!$B:$D,3,0),"")*G187,"")</f>
        <v>23886.66667</v>
      </c>
      <c r="I187" s="172">
        <v>2400.0</v>
      </c>
      <c r="J187" s="172">
        <f t="shared" si="2"/>
        <v>-21486.66667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3"/>
      <c r="B188" s="175">
        <v>36.0</v>
      </c>
      <c r="C188" s="176">
        <f t="shared" ref="C188:C191" si="34">IFERROR(IF(B188=B187,C187,""),"")</f>
        <v>44786</v>
      </c>
      <c r="D188" s="175">
        <f t="shared" si="26"/>
        <v>8</v>
      </c>
      <c r="E188" s="177">
        <v>17.0</v>
      </c>
      <c r="F188" s="177" t="str">
        <f>IFERROR(VLOOKUP(E188,Bar!$B:$C,2,0),"")</f>
        <v>Pan de Campo </v>
      </c>
      <c r="G188" s="175">
        <v>15.0</v>
      </c>
      <c r="H188" s="175">
        <f>IFERROR(IFERROR(VLOOKUP(E188,Bar!$B:$D,3,0),"")*G188,"")</f>
        <v>10282.5</v>
      </c>
      <c r="I188" s="175">
        <v>4500.0</v>
      </c>
      <c r="J188" s="175">
        <f t="shared" si="2"/>
        <v>-5782.5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3"/>
      <c r="B189" s="175">
        <v>36.0</v>
      </c>
      <c r="C189" s="176">
        <f t="shared" si="34"/>
        <v>44786</v>
      </c>
      <c r="D189" s="175">
        <f t="shared" si="26"/>
        <v>8</v>
      </c>
      <c r="E189" s="177">
        <v>6.0</v>
      </c>
      <c r="F189" s="177" t="str">
        <f>IFERROR(VLOOKUP(E189,Bar!$B:$C,2,0),"")</f>
        <v>Browrnie Oreo</v>
      </c>
      <c r="G189" s="175">
        <v>24.0</v>
      </c>
      <c r="H189" s="175">
        <f>IFERROR(IFERROR(VLOOKUP(E189,Bar!$B:$D,3,0),"")*G189,"")</f>
        <v>58293.31111</v>
      </c>
      <c r="I189" s="175">
        <v>7200.0</v>
      </c>
      <c r="J189" s="175">
        <f t="shared" si="2"/>
        <v>-51093.31111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3"/>
      <c r="B190" s="175">
        <v>36.0</v>
      </c>
      <c r="C190" s="176">
        <f t="shared" si="34"/>
        <v>44786</v>
      </c>
      <c r="D190" s="175">
        <f t="shared" si="26"/>
        <v>8</v>
      </c>
      <c r="E190" s="177">
        <v>10.0</v>
      </c>
      <c r="F190" s="177" t="str">
        <f>IFERROR(VLOOKUP(E190,Bar!$B:$C,2,0),"")</f>
        <v>Apple Crumble</v>
      </c>
      <c r="G190" s="175">
        <v>7.0</v>
      </c>
      <c r="H190" s="175">
        <f>IFERROR(IFERROR(VLOOKUP(E190,Bar!$B:$D,3,0),"")*G190,"")</f>
        <v>7823.802778</v>
      </c>
      <c r="I190" s="175">
        <v>2100.0</v>
      </c>
      <c r="J190" s="175">
        <f t="shared" si="2"/>
        <v>-5723.802778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3"/>
      <c r="B191" s="184">
        <v>36.0</v>
      </c>
      <c r="C191" s="185">
        <f t="shared" si="34"/>
        <v>44786</v>
      </c>
      <c r="D191" s="184">
        <f t="shared" si="26"/>
        <v>8</v>
      </c>
      <c r="E191" s="186">
        <v>5.0</v>
      </c>
      <c r="F191" s="186" t="str">
        <f>IFERROR(VLOOKUP(E191,Bar!$B:$C,2,0),"")</f>
        <v>Lemon Pie</v>
      </c>
      <c r="G191" s="184">
        <v>6.0</v>
      </c>
      <c r="H191" s="184">
        <f>IFERROR(IFERROR(VLOOKUP(E191,Bar!$B:$D,3,0),"")*G191,"")</f>
        <v>9123.533333</v>
      </c>
      <c r="I191" s="184">
        <v>1800.0</v>
      </c>
      <c r="J191" s="184">
        <f t="shared" si="2"/>
        <v>-7323.533333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3"/>
      <c r="B192" s="175">
        <v>37.0</v>
      </c>
      <c r="C192" s="176">
        <v>44792.0</v>
      </c>
      <c r="D192" s="175">
        <f t="shared" si="26"/>
        <v>8</v>
      </c>
      <c r="E192" s="177">
        <v>9.0</v>
      </c>
      <c r="F192" s="177" t="str">
        <f>IFERROR(VLOOKUP(E192,Bar!$B:$C,2,0),"")</f>
        <v>Torta Oreo</v>
      </c>
      <c r="G192" s="175">
        <v>6.0</v>
      </c>
      <c r="H192" s="175">
        <f>IFERROR(IFERROR(VLOOKUP(E192,Bar!$B:$D,3,0),"")*G192,"")</f>
        <v>17915</v>
      </c>
      <c r="I192" s="175">
        <v>1800.0</v>
      </c>
      <c r="J192" s="175">
        <f t="shared" si="2"/>
        <v>-16115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3"/>
      <c r="B193" s="175">
        <v>37.0</v>
      </c>
      <c r="C193" s="176">
        <f t="shared" ref="C193:C194" si="35">IFERROR(IF(B193=B192,C192,""),"")</f>
        <v>44792</v>
      </c>
      <c r="D193" s="175">
        <f t="shared" si="26"/>
        <v>8</v>
      </c>
      <c r="E193" s="177">
        <v>5.0</v>
      </c>
      <c r="F193" s="177" t="str">
        <f>IFERROR(VLOOKUP(E193,Bar!$B:$C,2,0),"")</f>
        <v>Lemon Pie</v>
      </c>
      <c r="G193" s="175">
        <v>6.0</v>
      </c>
      <c r="H193" s="175">
        <f>IFERROR(IFERROR(VLOOKUP(E193,Bar!$B:$D,3,0),"")*G193,"")</f>
        <v>9123.533333</v>
      </c>
      <c r="I193" s="175">
        <v>1800.0</v>
      </c>
      <c r="J193" s="175">
        <f t="shared" si="2"/>
        <v>-7323.533333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3"/>
      <c r="B194" s="184">
        <v>37.0</v>
      </c>
      <c r="C194" s="185">
        <f t="shared" si="35"/>
        <v>44792</v>
      </c>
      <c r="D194" s="184">
        <f t="shared" si="26"/>
        <v>8</v>
      </c>
      <c r="E194" s="186">
        <v>10.0</v>
      </c>
      <c r="F194" s="186" t="str">
        <f>IFERROR(VLOOKUP(E194,Bar!$B:$C,2,0),"")</f>
        <v>Apple Crumble</v>
      </c>
      <c r="G194" s="184">
        <v>6.0</v>
      </c>
      <c r="H194" s="184">
        <f>IFERROR(IFERROR(VLOOKUP(E194,Bar!$B:$D,3,0),"")*G194,"")</f>
        <v>6706.116667</v>
      </c>
      <c r="I194" s="184">
        <v>1800.0</v>
      </c>
      <c r="J194" s="184">
        <f t="shared" si="2"/>
        <v>-4906.116667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3"/>
      <c r="B195" s="175">
        <v>38.0</v>
      </c>
      <c r="C195" s="176">
        <v>44793.0</v>
      </c>
      <c r="D195" s="175">
        <f t="shared" si="26"/>
        <v>8</v>
      </c>
      <c r="E195" s="177">
        <v>7.0</v>
      </c>
      <c r="F195" s="177" t="str">
        <f>IFERROR(VLOOKUP(E195,Bar!$B:$C,2,0),"")</f>
        <v>Chocotorta</v>
      </c>
      <c r="G195" s="175">
        <v>6.0</v>
      </c>
      <c r="H195" s="175">
        <f>IFERROR(IFERROR(VLOOKUP(E195,Bar!$B:$D,3,0),"")*G195,"")</f>
        <v>16903.57143</v>
      </c>
      <c r="I195" s="175">
        <f>IFERROR(IFERROR(VLOOKUP(E195,Bar!$B:$H,7,0),"")*G195,"")</f>
        <v>2100</v>
      </c>
      <c r="J195" s="175">
        <f t="shared" si="2"/>
        <v>-14803.57143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3"/>
      <c r="B196" s="184">
        <v>38.0</v>
      </c>
      <c r="C196" s="185">
        <f>IFERROR(IF(B196=B195,C195,""),"")</f>
        <v>44793</v>
      </c>
      <c r="D196" s="184">
        <f t="shared" si="26"/>
        <v>8</v>
      </c>
      <c r="E196" s="186">
        <v>6.0</v>
      </c>
      <c r="F196" s="186" t="str">
        <f>IFERROR(VLOOKUP(E196,Bar!$B:$C,2,0),"")</f>
        <v>Browrnie Oreo</v>
      </c>
      <c r="G196" s="184">
        <v>12.0</v>
      </c>
      <c r="H196" s="184">
        <f>IFERROR(IFERROR(VLOOKUP(E196,Bar!$B:$D,3,0),"")*G196,"")</f>
        <v>29146.65556</v>
      </c>
      <c r="I196" s="184">
        <f>IFERROR(IFERROR(VLOOKUP(E196,Bar!$B:$H,7,0),"")*G196,"")</f>
        <v>4200</v>
      </c>
      <c r="J196" s="184">
        <f t="shared" si="2"/>
        <v>-24946.65556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3"/>
      <c r="B197" s="175">
        <v>39.0</v>
      </c>
      <c r="C197" s="176">
        <v>44794.0</v>
      </c>
      <c r="D197" s="175">
        <f t="shared" si="26"/>
        <v>8</v>
      </c>
      <c r="E197" s="177">
        <v>5.0</v>
      </c>
      <c r="F197" s="177" t="str">
        <f>IFERROR(VLOOKUP(E197,Bar!$B:$C,2,0),"")</f>
        <v>Lemon Pie</v>
      </c>
      <c r="G197" s="175">
        <v>10.0</v>
      </c>
      <c r="H197" s="175">
        <f>IFERROR(IFERROR(VLOOKUP(E197,Bar!$B:$D,3,0),"")*G197,"")</f>
        <v>15205.88889</v>
      </c>
      <c r="I197" s="175">
        <f>IFERROR(IFERROR(VLOOKUP(E197,Bar!$B:$H,7,0),"")*G197,"")</f>
        <v>3500</v>
      </c>
      <c r="J197" s="175">
        <f t="shared" si="2"/>
        <v>-11705.88889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3"/>
      <c r="B198" s="175">
        <v>39.0</v>
      </c>
      <c r="C198" s="176">
        <f t="shared" ref="C198:C201" si="36">IFERROR(IF(B198=B197,C197,""),"")</f>
        <v>44794</v>
      </c>
      <c r="D198" s="175">
        <f t="shared" si="26"/>
        <v>8</v>
      </c>
      <c r="E198" s="177">
        <v>8.0</v>
      </c>
      <c r="F198" s="177" t="str">
        <f>IFERROR(VLOOKUP(E198,Bar!$B:$C,2,0),"")</f>
        <v>Cheese Cake Frutos rojos</v>
      </c>
      <c r="G198" s="175">
        <v>10.0</v>
      </c>
      <c r="H198" s="175">
        <f>IFERROR(IFERROR(VLOOKUP(E198,Bar!$B:$D,3,0),"")*G198,"")</f>
        <v>25416.55307</v>
      </c>
      <c r="I198" s="175">
        <f>IFERROR(IFERROR(VLOOKUP(E198,Bar!$B:$H,7,0),"")*G198,"")</f>
        <v>3500</v>
      </c>
      <c r="J198" s="175">
        <f t="shared" si="2"/>
        <v>-21916.55307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3"/>
      <c r="B199" s="175">
        <v>39.0</v>
      </c>
      <c r="C199" s="176">
        <f t="shared" si="36"/>
        <v>44794</v>
      </c>
      <c r="D199" s="175">
        <f t="shared" si="26"/>
        <v>8</v>
      </c>
      <c r="E199" s="177">
        <v>9.0</v>
      </c>
      <c r="F199" s="177" t="str">
        <f>IFERROR(VLOOKUP(E199,Bar!$B:$C,2,0),"")</f>
        <v>Torta Oreo</v>
      </c>
      <c r="G199" s="175">
        <v>8.0</v>
      </c>
      <c r="H199" s="175">
        <f>IFERROR(IFERROR(VLOOKUP(E199,Bar!$B:$D,3,0),"")*G199,"")</f>
        <v>23886.66667</v>
      </c>
      <c r="I199" s="175">
        <f>IFERROR(IFERROR(VLOOKUP(E199,Bar!$B:$H,7,0),"")*G199,"")</f>
        <v>2800</v>
      </c>
      <c r="J199" s="175">
        <f t="shared" si="2"/>
        <v>-21086.66667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3"/>
      <c r="B200" s="175">
        <v>39.0</v>
      </c>
      <c r="C200" s="176">
        <f t="shared" si="36"/>
        <v>44794</v>
      </c>
      <c r="D200" s="175">
        <f t="shared" si="26"/>
        <v>8</v>
      </c>
      <c r="E200" s="177">
        <v>7.0</v>
      </c>
      <c r="F200" s="177" t="str">
        <f>IFERROR(VLOOKUP(E200,Bar!$B:$C,2,0),"")</f>
        <v>Chocotorta</v>
      </c>
      <c r="G200" s="175">
        <v>4.0</v>
      </c>
      <c r="H200" s="175">
        <f>IFERROR(IFERROR(VLOOKUP(E200,Bar!$B:$D,3,0),"")*G200,"")</f>
        <v>11269.04762</v>
      </c>
      <c r="I200" s="175">
        <f>IFERROR(IFERROR(VLOOKUP(E200,Bar!$B:$H,7,0),"")*G200,"")</f>
        <v>1400</v>
      </c>
      <c r="J200" s="175">
        <f t="shared" si="2"/>
        <v>-9869.047619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3"/>
      <c r="B201" s="184">
        <v>39.0</v>
      </c>
      <c r="C201" s="185">
        <f t="shared" si="36"/>
        <v>44794</v>
      </c>
      <c r="D201" s="184">
        <f t="shared" si="26"/>
        <v>8</v>
      </c>
      <c r="E201" s="186">
        <v>6.0</v>
      </c>
      <c r="F201" s="186" t="str">
        <f>IFERROR(VLOOKUP(E201,Bar!$B:$C,2,0),"")</f>
        <v>Browrnie Oreo</v>
      </c>
      <c r="G201" s="184">
        <v>3.0</v>
      </c>
      <c r="H201" s="184">
        <f>IFERROR(IFERROR(VLOOKUP(E201,Bar!$B:$D,3,0),"")*G201,"")</f>
        <v>7286.663889</v>
      </c>
      <c r="I201" s="184">
        <f>IFERROR(IFERROR(VLOOKUP(E201,Bar!$B:$H,7,0),"")*G201,"")</f>
        <v>1050</v>
      </c>
      <c r="J201" s="184">
        <f t="shared" si="2"/>
        <v>-6236.663889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3"/>
      <c r="B202" s="175">
        <v>40.0</v>
      </c>
      <c r="C202" s="176">
        <v>44797.0</v>
      </c>
      <c r="D202" s="175">
        <f t="shared" si="26"/>
        <v>8</v>
      </c>
      <c r="E202" s="177">
        <v>5.0</v>
      </c>
      <c r="F202" s="177" t="str">
        <f>IFERROR(VLOOKUP(E202,Bar!$B:$C,2,0),"")</f>
        <v>Lemon Pie</v>
      </c>
      <c r="G202" s="175">
        <v>6.0</v>
      </c>
      <c r="H202" s="175">
        <f>IFERROR(IFERROR(VLOOKUP(E202,Bar!$B:$D,3,0),"")*G202,"")</f>
        <v>9123.533333</v>
      </c>
      <c r="I202" s="175">
        <f>IFERROR(IFERROR(VLOOKUP(E202,Bar!$B:$H,7,0),"")*G202,"")</f>
        <v>2100</v>
      </c>
      <c r="J202" s="175">
        <f t="shared" si="2"/>
        <v>-7023.533333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3"/>
      <c r="B203" s="175">
        <v>40.0</v>
      </c>
      <c r="C203" s="176">
        <f t="shared" ref="C203:C205" si="37">IFERROR(IF(B203=B202,C202,""),"")</f>
        <v>44797</v>
      </c>
      <c r="D203" s="175">
        <f t="shared" si="26"/>
        <v>8</v>
      </c>
      <c r="E203" s="177">
        <v>9.0</v>
      </c>
      <c r="F203" s="177" t="str">
        <f>IFERROR(VLOOKUP(E203,Bar!$B:$C,2,0),"")</f>
        <v>Torta Oreo</v>
      </c>
      <c r="G203" s="175">
        <v>5.0</v>
      </c>
      <c r="H203" s="175">
        <f>IFERROR(IFERROR(VLOOKUP(E203,Bar!$B:$D,3,0),"")*G203,"")</f>
        <v>14929.16667</v>
      </c>
      <c r="I203" s="175">
        <f>IFERROR(IFERROR(VLOOKUP(E203,Bar!$B:$H,7,0),"")*G203,"")</f>
        <v>1750</v>
      </c>
      <c r="J203" s="175">
        <f t="shared" si="2"/>
        <v>-13179.16667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3"/>
      <c r="B204" s="175">
        <v>40.0</v>
      </c>
      <c r="C204" s="176">
        <f t="shared" si="37"/>
        <v>44797</v>
      </c>
      <c r="D204" s="175">
        <f t="shared" si="26"/>
        <v>8</v>
      </c>
      <c r="E204" s="177">
        <v>7.0</v>
      </c>
      <c r="F204" s="177" t="str">
        <f>IFERROR(VLOOKUP(E204,Bar!$B:$C,2,0),"")</f>
        <v>Chocotorta</v>
      </c>
      <c r="G204" s="175">
        <v>6.0</v>
      </c>
      <c r="H204" s="175">
        <f>IFERROR(IFERROR(VLOOKUP(E204,Bar!$B:$D,3,0),"")*G204,"")</f>
        <v>16903.57143</v>
      </c>
      <c r="I204" s="175">
        <f>IFERROR(IFERROR(VLOOKUP(E204,Bar!$B:$H,7,0),"")*G204,"")</f>
        <v>2100</v>
      </c>
      <c r="J204" s="175">
        <f t="shared" si="2"/>
        <v>-14803.57143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3"/>
      <c r="B205" s="184">
        <v>40.0</v>
      </c>
      <c r="C205" s="185">
        <f t="shared" si="37"/>
        <v>44797</v>
      </c>
      <c r="D205" s="184">
        <f t="shared" si="26"/>
        <v>8</v>
      </c>
      <c r="E205" s="186">
        <v>10.0</v>
      </c>
      <c r="F205" s="186" t="str">
        <f>IFERROR(VLOOKUP(E205,Bar!$B:$C,2,0),"")</f>
        <v>Apple Crumble</v>
      </c>
      <c r="G205" s="184">
        <v>6.0</v>
      </c>
      <c r="H205" s="184">
        <f>IFERROR(IFERROR(VLOOKUP(E205,Bar!$B:$D,3,0),"")*G205,"")</f>
        <v>6706.116667</v>
      </c>
      <c r="I205" s="184">
        <f>IFERROR(IFERROR(VLOOKUP(E205,Bar!$B:$H,7,0),"")*G205,"")</f>
        <v>2100</v>
      </c>
      <c r="J205" s="184">
        <f t="shared" si="2"/>
        <v>-4606.116667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3"/>
      <c r="B206" s="175">
        <v>41.0</v>
      </c>
      <c r="C206" s="176">
        <v>44802.0</v>
      </c>
      <c r="D206" s="175">
        <f t="shared" si="26"/>
        <v>8</v>
      </c>
      <c r="E206" s="177">
        <v>7.0</v>
      </c>
      <c r="F206" s="177" t="str">
        <f>IFERROR(VLOOKUP(E206,Bar!$B:$C,2,0),"")</f>
        <v>Chocotorta</v>
      </c>
      <c r="G206" s="175">
        <v>6.0</v>
      </c>
      <c r="H206" s="175">
        <f>IFERROR(IFERROR(VLOOKUP(E206,Bar!$B:$D,3,0),"")*G206,"")</f>
        <v>16903.57143</v>
      </c>
      <c r="I206" s="175">
        <f>IFERROR(IFERROR(VLOOKUP(E206,Bar!$B:$H,7,0),"")*G206,"")</f>
        <v>2100</v>
      </c>
      <c r="J206" s="175">
        <f t="shared" si="2"/>
        <v>-14803.57143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3"/>
      <c r="B207" s="175">
        <v>41.0</v>
      </c>
      <c r="C207" s="176">
        <f t="shared" ref="C207:C209" si="38">IFERROR(IF(B207=B206,C206,""),"")</f>
        <v>44802</v>
      </c>
      <c r="D207" s="175">
        <f t="shared" si="26"/>
        <v>8</v>
      </c>
      <c r="E207" s="177">
        <v>6.0</v>
      </c>
      <c r="F207" s="177" t="str">
        <f>IFERROR(VLOOKUP(E207,Bar!$B:$C,2,0),"")</f>
        <v>Browrnie Oreo</v>
      </c>
      <c r="G207" s="175">
        <v>6.0</v>
      </c>
      <c r="H207" s="175">
        <f>IFERROR(IFERROR(VLOOKUP(E207,Bar!$B:$D,3,0),"")*G207,"")</f>
        <v>14573.32778</v>
      </c>
      <c r="I207" s="175">
        <f>IFERROR(IFERROR(VLOOKUP(E207,Bar!$B:$H,7,0),"")*G207,"")</f>
        <v>2100</v>
      </c>
      <c r="J207" s="175">
        <f t="shared" si="2"/>
        <v>-12473.32778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3"/>
      <c r="B208" s="175">
        <v>41.0</v>
      </c>
      <c r="C208" s="176">
        <f t="shared" si="38"/>
        <v>44802</v>
      </c>
      <c r="D208" s="175">
        <f t="shared" si="26"/>
        <v>8</v>
      </c>
      <c r="E208" s="177">
        <v>8.0</v>
      </c>
      <c r="F208" s="177" t="str">
        <f>IFERROR(VLOOKUP(E208,Bar!$B:$C,2,0),"")</f>
        <v>Cheese Cake Frutos rojos</v>
      </c>
      <c r="G208" s="175">
        <v>5.0</v>
      </c>
      <c r="H208" s="175">
        <f>IFERROR(IFERROR(VLOOKUP(E208,Bar!$B:$D,3,0),"")*G208,"")</f>
        <v>12708.27653</v>
      </c>
      <c r="I208" s="175">
        <f>IFERROR(IFERROR(VLOOKUP(E208,Bar!$B:$H,7,0),"")*G208,"")</f>
        <v>1750</v>
      </c>
      <c r="J208" s="175">
        <f t="shared" si="2"/>
        <v>-10958.27653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3"/>
      <c r="B209" s="184">
        <v>41.0</v>
      </c>
      <c r="C209" s="185">
        <f t="shared" si="38"/>
        <v>44802</v>
      </c>
      <c r="D209" s="184">
        <f t="shared" si="26"/>
        <v>8</v>
      </c>
      <c r="E209" s="186">
        <v>9.0</v>
      </c>
      <c r="F209" s="186" t="str">
        <f>IFERROR(VLOOKUP(E209,Bar!$B:$C,2,0),"")</f>
        <v>Torta Oreo</v>
      </c>
      <c r="G209" s="184">
        <v>2.0</v>
      </c>
      <c r="H209" s="184">
        <f>IFERROR(IFERROR(VLOOKUP(E209,Bar!$B:$D,3,0),"")*G209,"")</f>
        <v>5971.666667</v>
      </c>
      <c r="I209" s="184">
        <f>IFERROR(IFERROR(VLOOKUP(E209,Bar!$B:$H,7,0),"")*G209,"")</f>
        <v>700</v>
      </c>
      <c r="J209" s="184">
        <f t="shared" si="2"/>
        <v>-5271.666667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3"/>
      <c r="B210" s="175">
        <v>42.0</v>
      </c>
      <c r="C210" s="176">
        <v>44803.0</v>
      </c>
      <c r="D210" s="175">
        <f t="shared" si="26"/>
        <v>8</v>
      </c>
      <c r="E210" s="177">
        <v>17.0</v>
      </c>
      <c r="F210" s="177" t="str">
        <f>IFERROR(VLOOKUP(E210,Bar!$B:$C,2,0),"")</f>
        <v>Pan de Campo </v>
      </c>
      <c r="G210" s="175">
        <v>6.0</v>
      </c>
      <c r="H210" s="175">
        <f>IFERROR(IFERROR(VLOOKUP(E210,Bar!$B:$D,3,0),"")*G210,"")</f>
        <v>4113</v>
      </c>
      <c r="I210" s="175">
        <f>IFERROR(IFERROR(VLOOKUP(E210,Bar!$B:$H,7,0),"")*G210,"")</f>
        <v>900</v>
      </c>
      <c r="J210" s="175">
        <f t="shared" si="2"/>
        <v>-3213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3"/>
      <c r="B211" s="184">
        <v>42.0</v>
      </c>
      <c r="C211" s="185">
        <f>IFERROR(IF(B211=B210,C210,""),"")</f>
        <v>44803</v>
      </c>
      <c r="D211" s="184">
        <f t="shared" si="26"/>
        <v>8</v>
      </c>
      <c r="E211" s="186">
        <v>10.0</v>
      </c>
      <c r="F211" s="186" t="str">
        <f>IFERROR(VLOOKUP(E211,Bar!$B:$C,2,0),"")</f>
        <v>Apple Crumble</v>
      </c>
      <c r="G211" s="184">
        <v>6.0</v>
      </c>
      <c r="H211" s="184">
        <f>IFERROR(IFERROR(VLOOKUP(E211,Bar!$B:$D,3,0),"")*G211,"")</f>
        <v>6706.116667</v>
      </c>
      <c r="I211" s="184">
        <f>IFERROR(IFERROR(VLOOKUP(E211,Bar!$B:$H,7,0),"")*G211,"")</f>
        <v>2100</v>
      </c>
      <c r="J211" s="184">
        <f t="shared" si="2"/>
        <v>-4606.116667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3"/>
      <c r="B212" s="175">
        <v>43.0</v>
      </c>
      <c r="C212" s="176">
        <v>44806.0</v>
      </c>
      <c r="D212" s="175">
        <f t="shared" si="26"/>
        <v>9</v>
      </c>
      <c r="E212" s="177">
        <v>9.0</v>
      </c>
      <c r="F212" s="177" t="str">
        <f>IFERROR(VLOOKUP(E212,Bar!$B:$C,2,0),"")</f>
        <v>Torta Oreo</v>
      </c>
      <c r="G212" s="175">
        <v>5.0</v>
      </c>
      <c r="H212" s="175">
        <f>IFERROR(IFERROR(VLOOKUP(E212,Bar!$B:$D,3,0),"")*G212,"")</f>
        <v>14929.16667</v>
      </c>
      <c r="I212" s="175">
        <f>IFERROR(IFERROR(VLOOKUP(E212,Bar!$B:$H,7,0),"")*G212,"")</f>
        <v>1750</v>
      </c>
      <c r="J212" s="175">
        <f t="shared" si="2"/>
        <v>-13179.16667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3"/>
      <c r="B213" s="175">
        <v>43.0</v>
      </c>
      <c r="C213" s="176">
        <f t="shared" ref="C213:C217" si="39">IFERROR(IF(B213=B212,C212,""),"")</f>
        <v>44806</v>
      </c>
      <c r="D213" s="175">
        <f t="shared" si="26"/>
        <v>9</v>
      </c>
      <c r="E213" s="177">
        <v>7.0</v>
      </c>
      <c r="F213" s="177" t="str">
        <f>IFERROR(VLOOKUP(E213,Bar!$B:$C,2,0),"")</f>
        <v>Chocotorta</v>
      </c>
      <c r="G213" s="175">
        <v>5.0</v>
      </c>
      <c r="H213" s="175">
        <f>IFERROR(IFERROR(VLOOKUP(E213,Bar!$B:$D,3,0),"")*G213,"")</f>
        <v>14086.30952</v>
      </c>
      <c r="I213" s="175">
        <f>IFERROR(IFERROR(VLOOKUP(E213,Bar!$B:$H,7,0),"")*G213,"")</f>
        <v>1750</v>
      </c>
      <c r="J213" s="175">
        <f t="shared" si="2"/>
        <v>-12336.30952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3"/>
      <c r="B214" s="175">
        <v>43.0</v>
      </c>
      <c r="C214" s="176">
        <f t="shared" si="39"/>
        <v>44806</v>
      </c>
      <c r="D214" s="175">
        <f t="shared" si="26"/>
        <v>9</v>
      </c>
      <c r="E214" s="177">
        <v>6.0</v>
      </c>
      <c r="F214" s="177" t="str">
        <f>IFERROR(VLOOKUP(E214,Bar!$B:$C,2,0),"")</f>
        <v>Browrnie Oreo</v>
      </c>
      <c r="G214" s="175">
        <v>5.0</v>
      </c>
      <c r="H214" s="175">
        <f>IFERROR(IFERROR(VLOOKUP(E214,Bar!$B:$D,3,0),"")*G214,"")</f>
        <v>12144.43981</v>
      </c>
      <c r="I214" s="175">
        <f>IFERROR(IFERROR(VLOOKUP(E214,Bar!$B:$H,7,0),"")*G214,"")</f>
        <v>1750</v>
      </c>
      <c r="J214" s="175">
        <f t="shared" si="2"/>
        <v>-10394.43981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3"/>
      <c r="B215" s="175">
        <v>43.0</v>
      </c>
      <c r="C215" s="176">
        <f t="shared" si="39"/>
        <v>44806</v>
      </c>
      <c r="D215" s="175">
        <f t="shared" si="26"/>
        <v>9</v>
      </c>
      <c r="E215" s="177">
        <v>5.0</v>
      </c>
      <c r="F215" s="177" t="str">
        <f>IFERROR(VLOOKUP(E215,Bar!$B:$C,2,0),"")</f>
        <v>Lemon Pie</v>
      </c>
      <c r="G215" s="175">
        <v>4.0</v>
      </c>
      <c r="H215" s="175">
        <f>IFERROR(IFERROR(VLOOKUP(E215,Bar!$B:$D,3,0),"")*G215,"")</f>
        <v>6082.355556</v>
      </c>
      <c r="I215" s="175">
        <f>IFERROR(IFERROR(VLOOKUP(E215,Bar!$B:$H,7,0),"")*G215,"")</f>
        <v>1400</v>
      </c>
      <c r="J215" s="175">
        <f t="shared" si="2"/>
        <v>-4682.355556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3"/>
      <c r="B216" s="175">
        <v>43.0</v>
      </c>
      <c r="C216" s="176">
        <f t="shared" si="39"/>
        <v>44806</v>
      </c>
      <c r="D216" s="175">
        <f t="shared" si="26"/>
        <v>9</v>
      </c>
      <c r="E216" s="177">
        <v>10.0</v>
      </c>
      <c r="F216" s="177" t="str">
        <f>IFERROR(VLOOKUP(E216,Bar!$B:$C,2,0),"")</f>
        <v>Apple Crumble</v>
      </c>
      <c r="G216" s="175">
        <v>3.0</v>
      </c>
      <c r="H216" s="175">
        <f>IFERROR(IFERROR(VLOOKUP(E216,Bar!$B:$D,3,0),"")*G216,"")</f>
        <v>3353.058333</v>
      </c>
      <c r="I216" s="175">
        <f>IFERROR(IFERROR(VLOOKUP(E216,Bar!$B:$H,7,0),"")*G216,"")</f>
        <v>1050</v>
      </c>
      <c r="J216" s="175">
        <f t="shared" si="2"/>
        <v>-2303.058333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3"/>
      <c r="B217" s="184">
        <v>43.0</v>
      </c>
      <c r="C217" s="185">
        <f t="shared" si="39"/>
        <v>44806</v>
      </c>
      <c r="D217" s="184">
        <f t="shared" si="26"/>
        <v>9</v>
      </c>
      <c r="E217" s="186">
        <v>17.0</v>
      </c>
      <c r="F217" s="186" t="str">
        <f>IFERROR(VLOOKUP(E217,Bar!$B:$C,2,0),"")</f>
        <v>Pan de Campo </v>
      </c>
      <c r="G217" s="184">
        <v>3.0</v>
      </c>
      <c r="H217" s="184">
        <f>IFERROR(IFERROR(VLOOKUP(E217,Bar!$B:$D,3,0),"")*G217,"")</f>
        <v>2056.5</v>
      </c>
      <c r="I217" s="184">
        <f>IFERROR(IFERROR(VLOOKUP(E217,Bar!$B:$H,7,0),"")*G217,"")</f>
        <v>450</v>
      </c>
      <c r="J217" s="184">
        <f t="shared" si="2"/>
        <v>-1606.5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3"/>
      <c r="B218" s="175">
        <v>44.0</v>
      </c>
      <c r="C218" s="176">
        <v>44808.0</v>
      </c>
      <c r="D218" s="175">
        <f t="shared" si="26"/>
        <v>9</v>
      </c>
      <c r="E218" s="177">
        <v>6.0</v>
      </c>
      <c r="F218" s="177" t="str">
        <f>IFERROR(VLOOKUP(E218,Bar!$B:$C,2,0),"")</f>
        <v>Browrnie Oreo</v>
      </c>
      <c r="G218" s="175">
        <v>6.0</v>
      </c>
      <c r="H218" s="175">
        <f>IFERROR(IFERROR(VLOOKUP(E218,Bar!$B:$D,3,0),"")*G218,"")</f>
        <v>14573.32778</v>
      </c>
      <c r="I218" s="175">
        <f>IFERROR(IFERROR(VLOOKUP(E218,Bar!$B:$H,7,0),"")*G218,"")</f>
        <v>2100</v>
      </c>
      <c r="J218" s="175">
        <f t="shared" si="2"/>
        <v>-12473.32778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3"/>
      <c r="B219" s="175">
        <v>44.0</v>
      </c>
      <c r="C219" s="176">
        <f t="shared" ref="C219:C221" si="40">IFERROR(IF(B219=B218,C218,""),"")</f>
        <v>44808</v>
      </c>
      <c r="D219" s="175">
        <f t="shared" si="26"/>
        <v>9</v>
      </c>
      <c r="E219" s="177">
        <v>9.0</v>
      </c>
      <c r="F219" s="177" t="str">
        <f>IFERROR(VLOOKUP(E219,Bar!$B:$C,2,0),"")</f>
        <v>Torta Oreo</v>
      </c>
      <c r="G219" s="175">
        <v>6.0</v>
      </c>
      <c r="H219" s="175">
        <f>IFERROR(IFERROR(VLOOKUP(E219,Bar!$B:$D,3,0),"")*G219,"")</f>
        <v>17915</v>
      </c>
      <c r="I219" s="175">
        <f>IFERROR(IFERROR(VLOOKUP(E219,Bar!$B:$H,7,0),"")*G219,"")</f>
        <v>2100</v>
      </c>
      <c r="J219" s="175">
        <f t="shared" si="2"/>
        <v>-15815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3"/>
      <c r="B220" s="175">
        <v>44.0</v>
      </c>
      <c r="C220" s="176">
        <f t="shared" si="40"/>
        <v>44808</v>
      </c>
      <c r="D220" s="175">
        <f t="shared" si="26"/>
        <v>9</v>
      </c>
      <c r="E220" s="177">
        <v>7.0</v>
      </c>
      <c r="F220" s="177" t="str">
        <f>IFERROR(VLOOKUP(E220,Bar!$B:$C,2,0),"")</f>
        <v>Chocotorta</v>
      </c>
      <c r="G220" s="175">
        <v>7.0</v>
      </c>
      <c r="H220" s="175">
        <f>IFERROR(IFERROR(VLOOKUP(E220,Bar!$B:$D,3,0),"")*G220,"")</f>
        <v>19720.83333</v>
      </c>
      <c r="I220" s="175">
        <f>IFERROR(IFERROR(VLOOKUP(E220,Bar!$B:$H,7,0),"")*G220,"")</f>
        <v>2450</v>
      </c>
      <c r="J220" s="175">
        <f t="shared" si="2"/>
        <v>-17270.83333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3"/>
      <c r="B221" s="184">
        <v>44.0</v>
      </c>
      <c r="C221" s="185">
        <f t="shared" si="40"/>
        <v>44808</v>
      </c>
      <c r="D221" s="184">
        <f t="shared" si="26"/>
        <v>9</v>
      </c>
      <c r="E221" s="186">
        <v>10.0</v>
      </c>
      <c r="F221" s="186" t="str">
        <f>IFERROR(VLOOKUP(E221,Bar!$B:$C,2,0),"")</f>
        <v>Apple Crumble</v>
      </c>
      <c r="G221" s="184">
        <v>5.0</v>
      </c>
      <c r="H221" s="184">
        <f>IFERROR(IFERROR(VLOOKUP(E221,Bar!$B:$D,3,0),"")*G221,"")</f>
        <v>5588.430556</v>
      </c>
      <c r="I221" s="184">
        <f>IFERROR(IFERROR(VLOOKUP(E221,Bar!$B:$H,7,0),"")*G221,"")</f>
        <v>1750</v>
      </c>
      <c r="J221" s="184">
        <f t="shared" si="2"/>
        <v>-3838.430556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3"/>
      <c r="B222" s="175">
        <v>45.0</v>
      </c>
      <c r="C222" s="176">
        <v>44810.0</v>
      </c>
      <c r="D222" s="175">
        <f t="shared" si="26"/>
        <v>9</v>
      </c>
      <c r="E222" s="177">
        <v>6.0</v>
      </c>
      <c r="F222" s="177" t="str">
        <f>IFERROR(VLOOKUP(E222,Bar!$B:$C,2,0),"")</f>
        <v>Browrnie Oreo</v>
      </c>
      <c r="G222" s="175">
        <v>6.0</v>
      </c>
      <c r="H222" s="175">
        <f>IFERROR(IFERROR(VLOOKUP(E222,Bar!$B:$D,3,0),"")*G222,"")</f>
        <v>14573.32778</v>
      </c>
      <c r="I222" s="175">
        <f>IFERROR(IFERROR(VLOOKUP(E222,Bar!$B:$H,7,0),"")*G222,"")</f>
        <v>2100</v>
      </c>
      <c r="J222" s="175">
        <f t="shared" si="2"/>
        <v>-12473.32778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3"/>
      <c r="B223" s="175">
        <v>45.0</v>
      </c>
      <c r="C223" s="176">
        <f t="shared" ref="C223:C226" si="41">IFERROR(IF(B223=B222,C222,""),"")</f>
        <v>44810</v>
      </c>
      <c r="D223" s="175">
        <f t="shared" si="26"/>
        <v>9</v>
      </c>
      <c r="E223" s="177">
        <v>10.0</v>
      </c>
      <c r="F223" s="177" t="str">
        <f>IFERROR(VLOOKUP(E223,Bar!$B:$C,2,0),"")</f>
        <v>Apple Crumble</v>
      </c>
      <c r="G223" s="175">
        <v>4.0</v>
      </c>
      <c r="H223" s="175">
        <f>IFERROR(IFERROR(VLOOKUP(E223,Bar!$B:$D,3,0),"")*G223,"")</f>
        <v>4470.744444</v>
      </c>
      <c r="I223" s="175">
        <f>IFERROR(IFERROR(VLOOKUP(E223,Bar!$B:$H,7,0),"")*G223,"")</f>
        <v>1400</v>
      </c>
      <c r="J223" s="175">
        <f t="shared" si="2"/>
        <v>-3070.744444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3"/>
      <c r="B224" s="175">
        <v>45.0</v>
      </c>
      <c r="C224" s="176">
        <f t="shared" si="41"/>
        <v>44810</v>
      </c>
      <c r="D224" s="175">
        <f t="shared" si="26"/>
        <v>9</v>
      </c>
      <c r="E224" s="177">
        <v>5.0</v>
      </c>
      <c r="F224" s="177" t="str">
        <f>IFERROR(VLOOKUP(E224,Bar!$B:$C,2,0),"")</f>
        <v>Lemon Pie</v>
      </c>
      <c r="G224" s="175">
        <v>4.0</v>
      </c>
      <c r="H224" s="175">
        <f>IFERROR(IFERROR(VLOOKUP(E224,Bar!$B:$D,3,0),"")*G224,"")</f>
        <v>6082.355556</v>
      </c>
      <c r="I224" s="175">
        <f>IFERROR(IFERROR(VLOOKUP(E224,Bar!$B:$H,7,0),"")*G224,"")</f>
        <v>1400</v>
      </c>
      <c r="J224" s="175">
        <f t="shared" si="2"/>
        <v>-4682.355556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3"/>
      <c r="B225" s="175">
        <v>45.0</v>
      </c>
      <c r="C225" s="176">
        <f t="shared" si="41"/>
        <v>44810</v>
      </c>
      <c r="D225" s="175">
        <f t="shared" si="26"/>
        <v>9</v>
      </c>
      <c r="E225" s="177">
        <v>7.0</v>
      </c>
      <c r="F225" s="177" t="str">
        <f>IFERROR(VLOOKUP(E225,Bar!$B:$C,2,0),"")</f>
        <v>Chocotorta</v>
      </c>
      <c r="G225" s="175">
        <v>3.0</v>
      </c>
      <c r="H225" s="175">
        <f>IFERROR(IFERROR(VLOOKUP(E225,Bar!$B:$D,3,0),"")*G225,"")</f>
        <v>8451.785714</v>
      </c>
      <c r="I225" s="175">
        <f>IFERROR(IFERROR(VLOOKUP(E225,Bar!$B:$H,7,0),"")*G225,"")</f>
        <v>1050</v>
      </c>
      <c r="J225" s="175">
        <f t="shared" si="2"/>
        <v>-7401.785714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3"/>
      <c r="B226" s="184">
        <v>45.0</v>
      </c>
      <c r="C226" s="185">
        <f t="shared" si="41"/>
        <v>44810</v>
      </c>
      <c r="D226" s="184">
        <f t="shared" si="26"/>
        <v>9</v>
      </c>
      <c r="E226" s="186">
        <v>9.0</v>
      </c>
      <c r="F226" s="186" t="str">
        <f>IFERROR(VLOOKUP(E226,Bar!$B:$C,2,0),"")</f>
        <v>Torta Oreo</v>
      </c>
      <c r="G226" s="184">
        <v>1.0</v>
      </c>
      <c r="H226" s="184">
        <f>IFERROR(IFERROR(VLOOKUP(E226,Bar!$B:$D,3,0),"")*G226,"")</f>
        <v>2985.833333</v>
      </c>
      <c r="I226" s="184">
        <f>IFERROR(IFERROR(VLOOKUP(E226,Bar!$B:$H,7,0),"")*G226,"")</f>
        <v>350</v>
      </c>
      <c r="J226" s="184">
        <f t="shared" si="2"/>
        <v>-2635.833333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3"/>
      <c r="B227" s="175">
        <v>46.0</v>
      </c>
      <c r="C227" s="176">
        <v>44813.0</v>
      </c>
      <c r="D227" s="175">
        <f t="shared" si="26"/>
        <v>9</v>
      </c>
      <c r="E227" s="177">
        <v>18.0</v>
      </c>
      <c r="F227" s="177" t="str">
        <f>IFERROR(VLOOKUP(E227,Bar!$B:$C,2,0),"")</f>
        <v>cookies chips de chocolate x 12</v>
      </c>
      <c r="G227" s="175">
        <v>2.0</v>
      </c>
      <c r="H227" s="175">
        <f>IFERROR(IFERROR(VLOOKUP(E227,Bar!$B:$D,3,0),"")*G227,"")</f>
        <v>0</v>
      </c>
      <c r="I227" s="175">
        <f>IFERROR(IFERROR(VLOOKUP(E227,Bar!$B:$H,7,0),"")*G227,"")</f>
        <v>1960</v>
      </c>
      <c r="J227" s="175">
        <f t="shared" si="2"/>
        <v>1960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3"/>
      <c r="B228" s="175">
        <v>46.0</v>
      </c>
      <c r="C228" s="176">
        <f t="shared" ref="C228:C230" si="42">IFERROR(IF(B228=B227,C227,""),"")</f>
        <v>44813</v>
      </c>
      <c r="D228" s="175">
        <f t="shared" si="26"/>
        <v>9</v>
      </c>
      <c r="E228" s="177">
        <v>6.0</v>
      </c>
      <c r="F228" s="177" t="str">
        <f>IFERROR(VLOOKUP(E228,Bar!$B:$C,2,0),"")</f>
        <v>Browrnie Oreo</v>
      </c>
      <c r="G228" s="175">
        <v>6.0</v>
      </c>
      <c r="H228" s="175">
        <f>IFERROR(IFERROR(VLOOKUP(E228,Bar!$B:$D,3,0),"")*G228,"")</f>
        <v>14573.32778</v>
      </c>
      <c r="I228" s="175">
        <f>IFERROR(IFERROR(VLOOKUP(E228,Bar!$B:$H,7,0),"")*G228,"")</f>
        <v>2100</v>
      </c>
      <c r="J228" s="175">
        <f t="shared" si="2"/>
        <v>-12473.32778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3"/>
      <c r="B229" s="175">
        <v>46.0</v>
      </c>
      <c r="C229" s="176">
        <f t="shared" si="42"/>
        <v>44813</v>
      </c>
      <c r="D229" s="175">
        <f t="shared" si="26"/>
        <v>9</v>
      </c>
      <c r="E229" s="177">
        <v>10.0</v>
      </c>
      <c r="F229" s="177" t="str">
        <f>IFERROR(VLOOKUP(E229,Bar!$B:$C,2,0),"")</f>
        <v>Apple Crumble</v>
      </c>
      <c r="G229" s="175">
        <v>5.0</v>
      </c>
      <c r="H229" s="175">
        <f>IFERROR(IFERROR(VLOOKUP(E229,Bar!$B:$D,3,0),"")*G229,"")</f>
        <v>5588.430556</v>
      </c>
      <c r="I229" s="175">
        <f>IFERROR(IFERROR(VLOOKUP(E229,Bar!$B:$H,7,0),"")*G229,"")</f>
        <v>1750</v>
      </c>
      <c r="J229" s="175">
        <f t="shared" si="2"/>
        <v>-3838.430556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3"/>
      <c r="B230" s="184">
        <v>46.0</v>
      </c>
      <c r="C230" s="185">
        <f t="shared" si="42"/>
        <v>44813</v>
      </c>
      <c r="D230" s="184">
        <f t="shared" si="26"/>
        <v>9</v>
      </c>
      <c r="E230" s="186">
        <v>17.0</v>
      </c>
      <c r="F230" s="186" t="str">
        <f>IFERROR(VLOOKUP(E230,Bar!$B:$C,2,0),"")</f>
        <v>Pan de Campo </v>
      </c>
      <c r="G230" s="184">
        <v>3.0</v>
      </c>
      <c r="H230" s="184">
        <f>IFERROR(IFERROR(VLOOKUP(E230,Bar!$B:$D,3,0),"")*G230,"")</f>
        <v>2056.5</v>
      </c>
      <c r="I230" s="184">
        <f>IFERROR(IFERROR(VLOOKUP(E230,Bar!$B:$H,7,0),"")*G230,"")</f>
        <v>450</v>
      </c>
      <c r="J230" s="184">
        <f t="shared" si="2"/>
        <v>-1606.5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3"/>
      <c r="B231" s="175">
        <v>47.0</v>
      </c>
      <c r="C231" s="176">
        <v>44816.0</v>
      </c>
      <c r="D231" s="175">
        <f t="shared" si="26"/>
        <v>9</v>
      </c>
      <c r="E231" s="177">
        <v>6.0</v>
      </c>
      <c r="F231" s="177" t="str">
        <f>IFERROR(VLOOKUP(E231,Bar!$B:$C,2,0),"")</f>
        <v>Browrnie Oreo</v>
      </c>
      <c r="G231" s="175">
        <v>4.0</v>
      </c>
      <c r="H231" s="175">
        <f>IFERROR(IFERROR(VLOOKUP(E231,Bar!$B:$D,3,0),"")*G231,"")</f>
        <v>9715.551852</v>
      </c>
      <c r="I231" s="175">
        <f>IFERROR(IFERROR(VLOOKUP(E231,Bar!$B:$H,7,0),"")*G231,"")</f>
        <v>1400</v>
      </c>
      <c r="J231" s="175">
        <f t="shared" si="2"/>
        <v>-8315.551852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3"/>
      <c r="B232" s="175">
        <v>47.0</v>
      </c>
      <c r="C232" s="176">
        <f t="shared" ref="C232:C233" si="43">IFERROR(IF(B232=B231,C231,""),"")</f>
        <v>44816</v>
      </c>
      <c r="D232" s="175">
        <f t="shared" si="26"/>
        <v>9</v>
      </c>
      <c r="E232" s="177">
        <v>9.0</v>
      </c>
      <c r="F232" s="177" t="str">
        <f>IFERROR(VLOOKUP(E232,Bar!$B:$C,2,0),"")</f>
        <v>Torta Oreo</v>
      </c>
      <c r="G232" s="175">
        <v>5.0</v>
      </c>
      <c r="H232" s="175">
        <f>IFERROR(IFERROR(VLOOKUP(E232,Bar!$B:$D,3,0),"")*G232,"")</f>
        <v>14929.16667</v>
      </c>
      <c r="I232" s="175">
        <f>IFERROR(IFERROR(VLOOKUP(E232,Bar!$B:$H,7,0),"")*G232,"")</f>
        <v>1750</v>
      </c>
      <c r="J232" s="175">
        <f t="shared" si="2"/>
        <v>-13179.16667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3"/>
      <c r="B233" s="184">
        <v>47.0</v>
      </c>
      <c r="C233" s="185">
        <f t="shared" si="43"/>
        <v>44816</v>
      </c>
      <c r="D233" s="184">
        <f t="shared" si="26"/>
        <v>9</v>
      </c>
      <c r="E233" s="186">
        <v>10.0</v>
      </c>
      <c r="F233" s="186" t="str">
        <f>IFERROR(VLOOKUP(E233,Bar!$B:$C,2,0),"")</f>
        <v>Apple Crumble</v>
      </c>
      <c r="G233" s="184">
        <v>5.0</v>
      </c>
      <c r="H233" s="184">
        <f>IFERROR(IFERROR(VLOOKUP(E233,Bar!$B:$D,3,0),"")*G233,"")</f>
        <v>5588.430556</v>
      </c>
      <c r="I233" s="184">
        <f>IFERROR(IFERROR(VLOOKUP(E233,Bar!$B:$H,7,0),"")*G233,"")</f>
        <v>1750</v>
      </c>
      <c r="J233" s="184">
        <f t="shared" si="2"/>
        <v>-3838.430556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3"/>
      <c r="B234" s="175">
        <v>48.0</v>
      </c>
      <c r="C234" s="176">
        <v>44817.0</v>
      </c>
      <c r="D234" s="175">
        <f t="shared" si="26"/>
        <v>9</v>
      </c>
      <c r="E234" s="177">
        <v>6.0</v>
      </c>
      <c r="F234" s="177" t="str">
        <f>IFERROR(VLOOKUP(E234,Bar!$B:$C,2,0),"")</f>
        <v>Browrnie Oreo</v>
      </c>
      <c r="G234" s="175">
        <v>7.0</v>
      </c>
      <c r="H234" s="175">
        <f>IFERROR(IFERROR(VLOOKUP(E234,Bar!$B:$D,3,0),"")*G234,"")</f>
        <v>17002.21574</v>
      </c>
      <c r="I234" s="175">
        <f>IFERROR(IFERROR(VLOOKUP(E234,Bar!$B:$H,7,0),"")*G234,"")</f>
        <v>2450</v>
      </c>
      <c r="J234" s="175">
        <f t="shared" si="2"/>
        <v>-14552.21574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3"/>
      <c r="B235" s="175">
        <v>48.0</v>
      </c>
      <c r="C235" s="176">
        <f t="shared" ref="C235:C237" si="44">IFERROR(IF(B235=B234,C234,""),"")</f>
        <v>44817</v>
      </c>
      <c r="D235" s="175">
        <f t="shared" si="26"/>
        <v>9</v>
      </c>
      <c r="E235" s="177">
        <v>7.0</v>
      </c>
      <c r="F235" s="177" t="str">
        <f>IFERROR(VLOOKUP(E235,Bar!$B:$C,2,0),"")</f>
        <v>Chocotorta</v>
      </c>
      <c r="G235" s="175">
        <v>6.0</v>
      </c>
      <c r="H235" s="175">
        <f>IFERROR(IFERROR(VLOOKUP(E235,Bar!$B:$D,3,0),"")*G235,"")</f>
        <v>16903.57143</v>
      </c>
      <c r="I235" s="175">
        <f>IFERROR(IFERROR(VLOOKUP(E235,Bar!$B:$H,7,0),"")*G235,"")</f>
        <v>2100</v>
      </c>
      <c r="J235" s="175">
        <f t="shared" si="2"/>
        <v>-14803.57143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3"/>
      <c r="B236" s="175">
        <v>48.0</v>
      </c>
      <c r="C236" s="176">
        <f t="shared" si="44"/>
        <v>44817</v>
      </c>
      <c r="D236" s="175">
        <f t="shared" si="26"/>
        <v>9</v>
      </c>
      <c r="E236" s="177">
        <v>8.0</v>
      </c>
      <c r="F236" s="177" t="str">
        <f>IFERROR(VLOOKUP(E236,Bar!$B:$C,2,0),"")</f>
        <v>Cheese Cake Frutos rojos</v>
      </c>
      <c r="G236" s="175">
        <v>6.0</v>
      </c>
      <c r="H236" s="175">
        <f>IFERROR(IFERROR(VLOOKUP(E236,Bar!$B:$D,3,0),"")*G236,"")</f>
        <v>15249.93184</v>
      </c>
      <c r="I236" s="175">
        <f>IFERROR(IFERROR(VLOOKUP(E236,Bar!$B:$H,7,0),"")*G236,"")</f>
        <v>2100</v>
      </c>
      <c r="J236" s="175">
        <f t="shared" si="2"/>
        <v>-13149.93184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3"/>
      <c r="B237" s="184">
        <v>48.0</v>
      </c>
      <c r="C237" s="185">
        <f t="shared" si="44"/>
        <v>44817</v>
      </c>
      <c r="D237" s="184">
        <f t="shared" si="26"/>
        <v>9</v>
      </c>
      <c r="E237" s="186">
        <v>17.0</v>
      </c>
      <c r="F237" s="186" t="str">
        <f>IFERROR(VLOOKUP(E237,Bar!$B:$C,2,0),"")</f>
        <v>Pan de Campo </v>
      </c>
      <c r="G237" s="184">
        <v>4.0</v>
      </c>
      <c r="H237" s="184">
        <f>IFERROR(IFERROR(VLOOKUP(E237,Bar!$B:$D,3,0),"")*G237,"")</f>
        <v>2742</v>
      </c>
      <c r="I237" s="184">
        <f>IFERROR(IFERROR(VLOOKUP(E237,Bar!$B:$H,7,0),"")*G237,"")</f>
        <v>600</v>
      </c>
      <c r="J237" s="184">
        <f t="shared" si="2"/>
        <v>-2142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3"/>
      <c r="B238" s="175">
        <v>49.0</v>
      </c>
      <c r="C238" s="176">
        <v>44818.0</v>
      </c>
      <c r="D238" s="175">
        <f t="shared" si="26"/>
        <v>9</v>
      </c>
      <c r="E238" s="177">
        <v>10.0</v>
      </c>
      <c r="F238" s="177" t="str">
        <f>IFERROR(VLOOKUP(E238,Bar!$B:$C,2,0),"")</f>
        <v>Apple Crumble</v>
      </c>
      <c r="G238" s="175">
        <v>6.0</v>
      </c>
      <c r="H238" s="175">
        <f>IFERROR(IFERROR(VLOOKUP(E238,Bar!$B:$D,3,0),"")*G238,"")</f>
        <v>6706.116667</v>
      </c>
      <c r="I238" s="175">
        <f>IFERROR(IFERROR(VLOOKUP(E238,Bar!$B:$H,7,0),"")*G238,"")</f>
        <v>2100</v>
      </c>
      <c r="J238" s="175">
        <f t="shared" si="2"/>
        <v>-4606.116667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3"/>
      <c r="B239" s="175">
        <v>49.0</v>
      </c>
      <c r="C239" s="176">
        <f t="shared" ref="C239:C240" si="45">IFERROR(IF(B239=B238,C238,""),"")</f>
        <v>44818</v>
      </c>
      <c r="D239" s="175">
        <f t="shared" si="26"/>
        <v>9</v>
      </c>
      <c r="E239" s="177">
        <v>7.0</v>
      </c>
      <c r="F239" s="177" t="str">
        <f>IFERROR(VLOOKUP(E239,Bar!$B:$C,2,0),"")</f>
        <v>Chocotorta</v>
      </c>
      <c r="G239" s="175">
        <v>6.0</v>
      </c>
      <c r="H239" s="175">
        <f>IFERROR(IFERROR(VLOOKUP(E239,Bar!$B:$D,3,0),"")*G239,"")</f>
        <v>16903.57143</v>
      </c>
      <c r="I239" s="175">
        <f>IFERROR(IFERROR(VLOOKUP(E239,Bar!$B:$H,7,0),"")*G239,"")</f>
        <v>2100</v>
      </c>
      <c r="J239" s="175">
        <f t="shared" si="2"/>
        <v>-14803.57143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3"/>
      <c r="B240" s="184">
        <v>49.0</v>
      </c>
      <c r="C240" s="185">
        <f t="shared" si="45"/>
        <v>44818</v>
      </c>
      <c r="D240" s="184">
        <f t="shared" si="26"/>
        <v>9</v>
      </c>
      <c r="E240" s="186">
        <v>9.0</v>
      </c>
      <c r="F240" s="186" t="str">
        <f>IFERROR(VLOOKUP(E240,Bar!$B:$C,2,0),"")</f>
        <v>Torta Oreo</v>
      </c>
      <c r="G240" s="184">
        <v>6.0</v>
      </c>
      <c r="H240" s="184">
        <f>IFERROR(IFERROR(VLOOKUP(E240,Bar!$B:$D,3,0),"")*G240,"")</f>
        <v>17915</v>
      </c>
      <c r="I240" s="184">
        <f>IFERROR(IFERROR(VLOOKUP(E240,Bar!$B:$H,7,0),"")*G240,"")</f>
        <v>2100</v>
      </c>
      <c r="J240" s="184">
        <f t="shared" si="2"/>
        <v>-15815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3"/>
      <c r="B241" s="175">
        <v>50.0</v>
      </c>
      <c r="C241" s="176">
        <v>44819.0</v>
      </c>
      <c r="D241" s="175">
        <f t="shared" si="26"/>
        <v>9</v>
      </c>
      <c r="E241" s="177">
        <v>6.0</v>
      </c>
      <c r="F241" s="177" t="str">
        <f>IFERROR(VLOOKUP(E241,Bar!$B:$C,2,0),"")</f>
        <v>Browrnie Oreo</v>
      </c>
      <c r="G241" s="175">
        <v>6.0</v>
      </c>
      <c r="H241" s="175">
        <f>IFERROR(IFERROR(VLOOKUP(E241,Bar!$B:$D,3,0),"")*G241,"")</f>
        <v>14573.32778</v>
      </c>
      <c r="I241" s="175">
        <f>IFERROR(IFERROR(VLOOKUP(E241,Bar!$B:$H,7,0),"")*G241,"")</f>
        <v>2100</v>
      </c>
      <c r="J241" s="175">
        <f t="shared" si="2"/>
        <v>-12473.32778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3"/>
      <c r="B242" s="175">
        <v>50.0</v>
      </c>
      <c r="C242" s="176">
        <f t="shared" ref="C242:C243" si="46">IFERROR(IF(B242=B241,C241,""),"")</f>
        <v>44819</v>
      </c>
      <c r="D242" s="175">
        <f t="shared" si="26"/>
        <v>9</v>
      </c>
      <c r="E242" s="177">
        <v>5.0</v>
      </c>
      <c r="F242" s="177" t="str">
        <f>IFERROR(VLOOKUP(E242,Bar!$B:$C,2,0),"")</f>
        <v>Lemon Pie</v>
      </c>
      <c r="G242" s="175">
        <v>6.0</v>
      </c>
      <c r="H242" s="175">
        <f>IFERROR(IFERROR(VLOOKUP(E242,Bar!$B:$D,3,0),"")*G242,"")</f>
        <v>9123.533333</v>
      </c>
      <c r="I242" s="175">
        <f>IFERROR(IFERROR(VLOOKUP(E242,Bar!$B:$H,7,0),"")*G242,"")</f>
        <v>2100</v>
      </c>
      <c r="J242" s="175">
        <f t="shared" si="2"/>
        <v>-7023.533333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3"/>
      <c r="B243" s="184">
        <v>50.0</v>
      </c>
      <c r="C243" s="185">
        <f t="shared" si="46"/>
        <v>44819</v>
      </c>
      <c r="D243" s="184">
        <f t="shared" si="26"/>
        <v>9</v>
      </c>
      <c r="E243" s="186">
        <v>17.0</v>
      </c>
      <c r="F243" s="186" t="str">
        <f>IFERROR(VLOOKUP(E243,Bar!$B:$C,2,0),"")</f>
        <v>Pan de Campo </v>
      </c>
      <c r="G243" s="184">
        <v>5.0</v>
      </c>
      <c r="H243" s="184">
        <f>IFERROR(IFERROR(VLOOKUP(E243,Bar!$B:$D,3,0),"")*G243,"")</f>
        <v>3427.5</v>
      </c>
      <c r="I243" s="184">
        <f>IFERROR(IFERROR(VLOOKUP(E243,Bar!$B:$H,7,0),"")*G243,"")</f>
        <v>750</v>
      </c>
      <c r="J243" s="184">
        <f t="shared" si="2"/>
        <v>-2677.5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3"/>
      <c r="B244" s="175">
        <v>51.0</v>
      </c>
      <c r="C244" s="176">
        <v>44822.0</v>
      </c>
      <c r="D244" s="175">
        <f t="shared" si="26"/>
        <v>9</v>
      </c>
      <c r="E244" s="177">
        <v>10.0</v>
      </c>
      <c r="F244" s="177" t="str">
        <f>IFERROR(VLOOKUP(E244,Bar!$B:$C,2,0),"")</f>
        <v>Apple Crumble</v>
      </c>
      <c r="G244" s="175">
        <v>6.0</v>
      </c>
      <c r="H244" s="175">
        <f>IFERROR(IFERROR(VLOOKUP(E244,Bar!$B:$D,3,0),"")*G244,"")</f>
        <v>6706.116667</v>
      </c>
      <c r="I244" s="175">
        <f>IFERROR(IFERROR(VLOOKUP(E244,Bar!$B:$H,7,0),"")*G244,"")</f>
        <v>2100</v>
      </c>
      <c r="J244" s="175">
        <f t="shared" si="2"/>
        <v>-4606.116667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3"/>
      <c r="B245" s="175">
        <v>51.0</v>
      </c>
      <c r="C245" s="176">
        <f t="shared" ref="C245:C247" si="47">IFERROR(IF(B245=B244,C244,""),"")</f>
        <v>44822</v>
      </c>
      <c r="D245" s="175">
        <f t="shared" si="26"/>
        <v>9</v>
      </c>
      <c r="E245" s="177">
        <v>6.0</v>
      </c>
      <c r="F245" s="177" t="str">
        <f>IFERROR(VLOOKUP(E245,Bar!$B:$C,2,0),"")</f>
        <v>Browrnie Oreo</v>
      </c>
      <c r="G245" s="175">
        <v>7.0</v>
      </c>
      <c r="H245" s="175">
        <f>IFERROR(IFERROR(VLOOKUP(E245,Bar!$B:$D,3,0),"")*G245,"")</f>
        <v>17002.21574</v>
      </c>
      <c r="I245" s="175">
        <f>IFERROR(IFERROR(VLOOKUP(E245,Bar!$B:$H,7,0),"")*G245,"")</f>
        <v>2450</v>
      </c>
      <c r="J245" s="175">
        <f t="shared" si="2"/>
        <v>-14552.21574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3"/>
      <c r="B246" s="175">
        <v>51.0</v>
      </c>
      <c r="C246" s="176">
        <f t="shared" si="47"/>
        <v>44822</v>
      </c>
      <c r="D246" s="175">
        <f t="shared" si="26"/>
        <v>9</v>
      </c>
      <c r="E246" s="177">
        <v>5.0</v>
      </c>
      <c r="F246" s="177" t="str">
        <f>IFERROR(VLOOKUP(E246,Bar!$B:$C,2,0),"")</f>
        <v>Lemon Pie</v>
      </c>
      <c r="G246" s="175">
        <v>2.0</v>
      </c>
      <c r="H246" s="175">
        <f>IFERROR(IFERROR(VLOOKUP(E246,Bar!$B:$D,3,0),"")*G246,"")</f>
        <v>3041.177778</v>
      </c>
      <c r="I246" s="175">
        <f>IFERROR(IFERROR(VLOOKUP(E246,Bar!$B:$H,7,0),"")*G246,"")</f>
        <v>700</v>
      </c>
      <c r="J246" s="175">
        <f t="shared" si="2"/>
        <v>-2341.177778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3"/>
      <c r="B247" s="184">
        <v>51.0</v>
      </c>
      <c r="C247" s="185">
        <f t="shared" si="47"/>
        <v>44822</v>
      </c>
      <c r="D247" s="184">
        <f t="shared" si="26"/>
        <v>9</v>
      </c>
      <c r="E247" s="186">
        <v>7.0</v>
      </c>
      <c r="F247" s="186" t="str">
        <f>IFERROR(VLOOKUP(E247,Bar!$B:$C,2,0),"")</f>
        <v>Chocotorta</v>
      </c>
      <c r="G247" s="184">
        <v>3.0</v>
      </c>
      <c r="H247" s="184">
        <f>IFERROR(IFERROR(VLOOKUP(E247,Bar!$B:$D,3,0),"")*G247,"")</f>
        <v>8451.785714</v>
      </c>
      <c r="I247" s="184">
        <f>IFERROR(IFERROR(VLOOKUP(E247,Bar!$B:$H,7,0),"")*G247,"")</f>
        <v>1050</v>
      </c>
      <c r="J247" s="184">
        <f t="shared" si="2"/>
        <v>-7401.785714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3"/>
      <c r="B248" s="175">
        <v>52.0</v>
      </c>
      <c r="C248" s="176">
        <v>44825.0</v>
      </c>
      <c r="D248" s="175">
        <f t="shared" si="26"/>
        <v>9</v>
      </c>
      <c r="E248" s="177">
        <v>8.0</v>
      </c>
      <c r="F248" s="177" t="str">
        <f>IFERROR(VLOOKUP(E248,Bar!$B:$C,2,0),"")</f>
        <v>Cheese Cake Frutos rojos</v>
      </c>
      <c r="G248" s="175">
        <v>15.0</v>
      </c>
      <c r="H248" s="175">
        <f>IFERROR(IFERROR(VLOOKUP(E248,Bar!$B:$D,3,0),"")*G248,"")</f>
        <v>38124.8296</v>
      </c>
      <c r="I248" s="175">
        <f>IFERROR(IFERROR(VLOOKUP(E248,Bar!$B:$H,7,0),"")*G248,"")</f>
        <v>5250</v>
      </c>
      <c r="J248" s="175">
        <f t="shared" si="2"/>
        <v>-32874.8296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3"/>
      <c r="B249" s="175">
        <v>52.0</v>
      </c>
      <c r="C249" s="176">
        <f t="shared" ref="C249:C252" si="48">IFERROR(IF(B249=B248,C248,""),"")</f>
        <v>44825</v>
      </c>
      <c r="D249" s="175">
        <f t="shared" si="26"/>
        <v>9</v>
      </c>
      <c r="E249" s="177">
        <v>5.0</v>
      </c>
      <c r="F249" s="177" t="str">
        <f>IFERROR(VLOOKUP(E249,Bar!$B:$C,2,0),"")</f>
        <v>Lemon Pie</v>
      </c>
      <c r="G249" s="175">
        <v>4.0</v>
      </c>
      <c r="H249" s="175">
        <f>IFERROR(IFERROR(VLOOKUP(E249,Bar!$B:$D,3,0),"")*G249,"")</f>
        <v>6082.355556</v>
      </c>
      <c r="I249" s="175">
        <f>IFERROR(IFERROR(VLOOKUP(E249,Bar!$B:$H,7,0),"")*G249,"")</f>
        <v>1400</v>
      </c>
      <c r="J249" s="175">
        <f t="shared" si="2"/>
        <v>-4682.355556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3"/>
      <c r="B250" s="175">
        <v>52.0</v>
      </c>
      <c r="C250" s="176">
        <f t="shared" si="48"/>
        <v>44825</v>
      </c>
      <c r="D250" s="175">
        <f t="shared" si="26"/>
        <v>9</v>
      </c>
      <c r="E250" s="177">
        <v>9.0</v>
      </c>
      <c r="F250" s="177" t="str">
        <f>IFERROR(VLOOKUP(E250,Bar!$B:$C,2,0),"")</f>
        <v>Torta Oreo</v>
      </c>
      <c r="G250" s="175">
        <v>8.0</v>
      </c>
      <c r="H250" s="175">
        <f>IFERROR(IFERROR(VLOOKUP(E250,Bar!$B:$D,3,0),"")*G250,"")</f>
        <v>23886.66667</v>
      </c>
      <c r="I250" s="175">
        <f>IFERROR(IFERROR(VLOOKUP(E250,Bar!$B:$H,7,0),"")*G250,"")</f>
        <v>2800</v>
      </c>
      <c r="J250" s="175">
        <f t="shared" si="2"/>
        <v>-21086.66667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3"/>
      <c r="B251" s="175">
        <v>52.0</v>
      </c>
      <c r="C251" s="176">
        <f t="shared" si="48"/>
        <v>44825</v>
      </c>
      <c r="D251" s="175">
        <f t="shared" si="26"/>
        <v>9</v>
      </c>
      <c r="E251" s="177">
        <v>7.0</v>
      </c>
      <c r="F251" s="177" t="str">
        <f>IFERROR(VLOOKUP(E251,Bar!$B:$C,2,0),"")</f>
        <v>Chocotorta</v>
      </c>
      <c r="G251" s="175">
        <v>6.0</v>
      </c>
      <c r="H251" s="175">
        <f>IFERROR(IFERROR(VLOOKUP(E251,Bar!$B:$D,3,0),"")*G251,"")</f>
        <v>16903.57143</v>
      </c>
      <c r="I251" s="175">
        <f>IFERROR(IFERROR(VLOOKUP(E251,Bar!$B:$H,7,0),"")*G251,"")</f>
        <v>2100</v>
      </c>
      <c r="J251" s="175">
        <f t="shared" si="2"/>
        <v>-14803.57143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3"/>
      <c r="B252" s="184">
        <v>52.0</v>
      </c>
      <c r="C252" s="185">
        <f t="shared" si="48"/>
        <v>44825</v>
      </c>
      <c r="D252" s="184">
        <f t="shared" si="26"/>
        <v>9</v>
      </c>
      <c r="E252" s="186">
        <v>6.0</v>
      </c>
      <c r="F252" s="186" t="str">
        <f>IFERROR(VLOOKUP(E252,Bar!$B:$C,2,0),"")</f>
        <v>Browrnie Oreo</v>
      </c>
      <c r="G252" s="184">
        <v>7.0</v>
      </c>
      <c r="H252" s="184">
        <f>IFERROR(IFERROR(VLOOKUP(E252,Bar!$B:$D,3,0),"")*G252,"")</f>
        <v>17002.21574</v>
      </c>
      <c r="I252" s="184">
        <f>IFERROR(IFERROR(VLOOKUP(E252,Bar!$B:$H,7,0),"")*G252,"")</f>
        <v>2450</v>
      </c>
      <c r="J252" s="184">
        <f t="shared" si="2"/>
        <v>-14552.21574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3"/>
      <c r="B253" s="175">
        <v>53.0</v>
      </c>
      <c r="C253" s="176">
        <v>44827.0</v>
      </c>
      <c r="D253" s="175">
        <f t="shared" si="26"/>
        <v>9</v>
      </c>
      <c r="E253" s="177">
        <v>8.0</v>
      </c>
      <c r="F253" s="177" t="str">
        <f>IFERROR(VLOOKUP(E253,Bar!$B:$C,2,0),"")</f>
        <v>Cheese Cake Frutos rojos</v>
      </c>
      <c r="G253" s="175">
        <v>10.0</v>
      </c>
      <c r="H253" s="175">
        <f>IFERROR(IFERROR(VLOOKUP(E253,Bar!$B:$D,3,0),"")*G253,"")</f>
        <v>25416.55307</v>
      </c>
      <c r="I253" s="175">
        <f>IFERROR(IFERROR(VLOOKUP(E253,Bar!$B:$H,7,0),"")*G253,"")</f>
        <v>3500</v>
      </c>
      <c r="J253" s="175">
        <f t="shared" si="2"/>
        <v>-21916.55307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3"/>
      <c r="B254" s="175">
        <v>53.0</v>
      </c>
      <c r="C254" s="176">
        <f t="shared" ref="C254:C257" si="49">IFERROR(IF(B254=B253,C253,""),"")</f>
        <v>44827</v>
      </c>
      <c r="D254" s="175">
        <f t="shared" si="26"/>
        <v>9</v>
      </c>
      <c r="E254" s="177">
        <v>6.0</v>
      </c>
      <c r="F254" s="177" t="str">
        <f>IFERROR(VLOOKUP(E254,Bar!$B:$C,2,0),"")</f>
        <v>Browrnie Oreo</v>
      </c>
      <c r="G254" s="175">
        <v>7.0</v>
      </c>
      <c r="H254" s="175">
        <f>IFERROR(IFERROR(VLOOKUP(E254,Bar!$B:$D,3,0),"")*G254,"")</f>
        <v>17002.21574</v>
      </c>
      <c r="I254" s="175">
        <f>IFERROR(IFERROR(VLOOKUP(E254,Bar!$B:$H,7,0),"")*G254,"")</f>
        <v>2450</v>
      </c>
      <c r="J254" s="175">
        <f t="shared" si="2"/>
        <v>-14552.21574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3"/>
      <c r="B255" s="175">
        <v>53.0</v>
      </c>
      <c r="C255" s="176">
        <f t="shared" si="49"/>
        <v>44827</v>
      </c>
      <c r="D255" s="175">
        <f t="shared" si="26"/>
        <v>9</v>
      </c>
      <c r="E255" s="177">
        <v>7.0</v>
      </c>
      <c r="F255" s="177" t="str">
        <f>IFERROR(VLOOKUP(E255,Bar!$B:$C,2,0),"")</f>
        <v>Chocotorta</v>
      </c>
      <c r="G255" s="175">
        <v>7.0</v>
      </c>
      <c r="H255" s="175">
        <f>IFERROR(IFERROR(VLOOKUP(E255,Bar!$B:$D,3,0),"")*G255,"")</f>
        <v>19720.83333</v>
      </c>
      <c r="I255" s="175">
        <f>IFERROR(IFERROR(VLOOKUP(E255,Bar!$B:$H,7,0),"")*G255,"")</f>
        <v>2450</v>
      </c>
      <c r="J255" s="175">
        <f t="shared" si="2"/>
        <v>-17270.83333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3"/>
      <c r="B256" s="175">
        <v>53.0</v>
      </c>
      <c r="C256" s="176">
        <f t="shared" si="49"/>
        <v>44827</v>
      </c>
      <c r="D256" s="175">
        <f t="shared" si="26"/>
        <v>9</v>
      </c>
      <c r="E256" s="177">
        <v>9.0</v>
      </c>
      <c r="F256" s="177" t="str">
        <f>IFERROR(VLOOKUP(E256,Bar!$B:$C,2,0),"")</f>
        <v>Torta Oreo</v>
      </c>
      <c r="G256" s="175">
        <v>7.0</v>
      </c>
      <c r="H256" s="175">
        <f>IFERROR(IFERROR(VLOOKUP(E256,Bar!$B:$D,3,0),"")*G256,"")</f>
        <v>20900.83333</v>
      </c>
      <c r="I256" s="175">
        <f>IFERROR(IFERROR(VLOOKUP(E256,Bar!$B:$H,7,0),"")*G256,"")</f>
        <v>2450</v>
      </c>
      <c r="J256" s="175">
        <f t="shared" si="2"/>
        <v>-18450.83333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3"/>
      <c r="B257" s="184">
        <v>53.0</v>
      </c>
      <c r="C257" s="185">
        <f t="shared" si="49"/>
        <v>44827</v>
      </c>
      <c r="D257" s="184">
        <f t="shared" si="26"/>
        <v>9</v>
      </c>
      <c r="E257" s="186">
        <v>17.0</v>
      </c>
      <c r="F257" s="186" t="str">
        <f>IFERROR(VLOOKUP(E257,Bar!$B:$C,2,0),"")</f>
        <v>Pan de Campo </v>
      </c>
      <c r="G257" s="184">
        <v>4.0</v>
      </c>
      <c r="H257" s="184">
        <f>IFERROR(IFERROR(VLOOKUP(E257,Bar!$B:$D,3,0),"")*G257,"")</f>
        <v>2742</v>
      </c>
      <c r="I257" s="184">
        <f>IFERROR(IFERROR(VLOOKUP(E257,Bar!$B:$H,7,0),"")*G257,"")</f>
        <v>600</v>
      </c>
      <c r="J257" s="184">
        <f t="shared" si="2"/>
        <v>-2142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3"/>
      <c r="B258" s="175">
        <v>54.0</v>
      </c>
      <c r="C258" s="176">
        <v>44833.0</v>
      </c>
      <c r="D258" s="175">
        <f t="shared" si="26"/>
        <v>9</v>
      </c>
      <c r="E258" s="177">
        <v>5.0</v>
      </c>
      <c r="F258" s="177" t="str">
        <f>IFERROR(VLOOKUP(E258,Bar!$B:$C,2,0),"")</f>
        <v>Lemon Pie</v>
      </c>
      <c r="G258" s="175">
        <v>6.0</v>
      </c>
      <c r="H258" s="175">
        <f>IFERROR(IFERROR(VLOOKUP(E258,Bar!$B:$D,3,0),"")*G258,"")</f>
        <v>9123.533333</v>
      </c>
      <c r="I258" s="175">
        <f>IFERROR(IFERROR(VLOOKUP(E258,Bar!$B:$H,7,0),"")*G258,"")</f>
        <v>2100</v>
      </c>
      <c r="J258" s="175">
        <f t="shared" si="2"/>
        <v>-7023.533333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3"/>
      <c r="B259" s="175">
        <v>54.0</v>
      </c>
      <c r="C259" s="176">
        <f t="shared" ref="C259:C261" si="50">IFERROR(IF(B259=B258,C258,""),"")</f>
        <v>44833</v>
      </c>
      <c r="D259" s="175">
        <f t="shared" si="26"/>
        <v>9</v>
      </c>
      <c r="E259" s="177">
        <v>7.0</v>
      </c>
      <c r="F259" s="177" t="str">
        <f>IFERROR(VLOOKUP(E259,Bar!$B:$C,2,0),"")</f>
        <v>Chocotorta</v>
      </c>
      <c r="G259" s="175">
        <v>6.0</v>
      </c>
      <c r="H259" s="175">
        <f>IFERROR(IFERROR(VLOOKUP(E259,Bar!$B:$D,3,0),"")*G259,"")</f>
        <v>16903.57143</v>
      </c>
      <c r="I259" s="175">
        <f>IFERROR(IFERROR(VLOOKUP(E259,Bar!$B:$H,7,0),"")*G259,"")</f>
        <v>2100</v>
      </c>
      <c r="J259" s="175">
        <f t="shared" si="2"/>
        <v>-14803.57143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3"/>
      <c r="B260" s="175">
        <v>54.0</v>
      </c>
      <c r="C260" s="176">
        <f t="shared" si="50"/>
        <v>44833</v>
      </c>
      <c r="D260" s="175">
        <f t="shared" si="26"/>
        <v>9</v>
      </c>
      <c r="E260" s="177">
        <v>10.0</v>
      </c>
      <c r="F260" s="177" t="str">
        <f>IFERROR(VLOOKUP(E260,Bar!$B:$C,2,0),"")</f>
        <v>Apple Crumble</v>
      </c>
      <c r="G260" s="175">
        <v>6.0</v>
      </c>
      <c r="H260" s="175">
        <f>IFERROR(IFERROR(VLOOKUP(E260,Bar!$B:$D,3,0),"")*G260,"")</f>
        <v>6706.116667</v>
      </c>
      <c r="I260" s="175">
        <f>IFERROR(IFERROR(VLOOKUP(E260,Bar!$B:$H,7,0),"")*G260,"")</f>
        <v>2100</v>
      </c>
      <c r="J260" s="175">
        <f t="shared" si="2"/>
        <v>-4606.116667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3"/>
      <c r="B261" s="184">
        <v>54.0</v>
      </c>
      <c r="C261" s="185">
        <f t="shared" si="50"/>
        <v>44833</v>
      </c>
      <c r="D261" s="184">
        <f t="shared" si="26"/>
        <v>9</v>
      </c>
      <c r="E261" s="186">
        <v>9.0</v>
      </c>
      <c r="F261" s="186" t="str">
        <f>IFERROR(VLOOKUP(E261,Bar!$B:$C,2,0),"")</f>
        <v>Torta Oreo</v>
      </c>
      <c r="G261" s="184">
        <v>6.0</v>
      </c>
      <c r="H261" s="184">
        <f>IFERROR(IFERROR(VLOOKUP(E261,Bar!$B:$D,3,0),"")*G261,"")</f>
        <v>17915</v>
      </c>
      <c r="I261" s="184">
        <f>IFERROR(IFERROR(VLOOKUP(E261,Bar!$B:$H,7,0),"")*G261,"")</f>
        <v>2100</v>
      </c>
      <c r="J261" s="184">
        <f t="shared" si="2"/>
        <v>-15815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3"/>
      <c r="B262" s="175">
        <v>55.0</v>
      </c>
      <c r="C262" s="176">
        <v>44835.0</v>
      </c>
      <c r="D262" s="175">
        <f t="shared" si="26"/>
        <v>10</v>
      </c>
      <c r="E262" s="177">
        <v>9.0</v>
      </c>
      <c r="F262" s="177" t="str">
        <f>IFERROR(VLOOKUP(E262,Bar!$B:$C,2,0),"")</f>
        <v>Torta Oreo</v>
      </c>
      <c r="G262" s="175">
        <v>4.0</v>
      </c>
      <c r="H262" s="175">
        <f>IFERROR(IFERROR(VLOOKUP(E262,Bar!$B:$D,3,0),"")*G262,"")</f>
        <v>11943.33333</v>
      </c>
      <c r="I262" s="175">
        <f>IFERROR(IFERROR(VLOOKUP(E262,Bar!$B:$H,7,0),"")*G262,"")</f>
        <v>1400</v>
      </c>
      <c r="J262" s="175">
        <f t="shared" si="2"/>
        <v>-10543.33333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3"/>
      <c r="B263" s="175">
        <v>55.0</v>
      </c>
      <c r="C263" s="176">
        <f t="shared" ref="C263:C434" si="51">IFERROR(IF(B263=B262,C262,""),"")</f>
        <v>44835</v>
      </c>
      <c r="D263" s="175">
        <f t="shared" si="26"/>
        <v>10</v>
      </c>
      <c r="E263" s="177">
        <v>6.0</v>
      </c>
      <c r="F263" s="177" t="str">
        <f>IFERROR(VLOOKUP(E263,Bar!$B:$C,2,0),"")</f>
        <v>Browrnie Oreo</v>
      </c>
      <c r="G263" s="175">
        <v>6.0</v>
      </c>
      <c r="H263" s="175">
        <f>IFERROR(IFERROR(VLOOKUP(E263,Bar!$B:$D,3,0),"")*G263,"")</f>
        <v>14573.32778</v>
      </c>
      <c r="I263" s="175">
        <f>IFERROR(IFERROR(VLOOKUP(E263,Bar!$B:$H,7,0),"")*G263,"")</f>
        <v>2100</v>
      </c>
      <c r="J263" s="175">
        <f t="shared" si="2"/>
        <v>-12473.32778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3"/>
      <c r="B264" s="175">
        <v>55.0</v>
      </c>
      <c r="C264" s="176">
        <f t="shared" si="51"/>
        <v>44835</v>
      </c>
      <c r="D264" s="175">
        <f t="shared" si="26"/>
        <v>10</v>
      </c>
      <c r="E264" s="177">
        <v>5.0</v>
      </c>
      <c r="F264" s="177" t="str">
        <f>IFERROR(VLOOKUP(E264,Bar!$B:$C,2,0),"")</f>
        <v>Lemon Pie</v>
      </c>
      <c r="G264" s="175">
        <v>6.0</v>
      </c>
      <c r="H264" s="175">
        <f>IFERROR(IFERROR(VLOOKUP(E264,Bar!$B:$D,3,0),"")*G264,"")</f>
        <v>9123.533333</v>
      </c>
      <c r="I264" s="175">
        <f>IFERROR(IFERROR(VLOOKUP(E264,Bar!$B:$H,7,0),"")*G264,"")</f>
        <v>2100</v>
      </c>
      <c r="J264" s="175">
        <f t="shared" si="2"/>
        <v>-7023.533333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3"/>
      <c r="B265" s="175">
        <v>55.0</v>
      </c>
      <c r="C265" s="176">
        <f t="shared" si="51"/>
        <v>44835</v>
      </c>
      <c r="D265" s="175">
        <f t="shared" si="26"/>
        <v>10</v>
      </c>
      <c r="E265" s="177">
        <v>10.0</v>
      </c>
      <c r="F265" s="177" t="str">
        <f>IFERROR(VLOOKUP(E265,Bar!$B:$C,2,0),"")</f>
        <v>Apple Crumble</v>
      </c>
      <c r="G265" s="175">
        <v>6.0</v>
      </c>
      <c r="H265" s="175">
        <f>IFERROR(IFERROR(VLOOKUP(E265,Bar!$B:$D,3,0),"")*G265,"")</f>
        <v>6706.116667</v>
      </c>
      <c r="I265" s="175">
        <f>IFERROR(IFERROR(VLOOKUP(E265,Bar!$B:$H,7,0),"")*G265,"")</f>
        <v>2100</v>
      </c>
      <c r="J265" s="175">
        <f t="shared" si="2"/>
        <v>-4606.116667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3"/>
      <c r="B266" s="184">
        <v>55.0</v>
      </c>
      <c r="C266" s="185">
        <f t="shared" si="51"/>
        <v>44835</v>
      </c>
      <c r="D266" s="184">
        <f t="shared" si="26"/>
        <v>10</v>
      </c>
      <c r="E266" s="186">
        <v>17.0</v>
      </c>
      <c r="F266" s="186" t="str">
        <f>IFERROR(VLOOKUP(E266,Bar!$B:$C,2,0),"")</f>
        <v>Pan de Campo </v>
      </c>
      <c r="G266" s="184">
        <v>4.0</v>
      </c>
      <c r="H266" s="184">
        <f>IFERROR(IFERROR(VLOOKUP(E266,Bar!$B:$D,3,0),"")*G266,"")</f>
        <v>2742</v>
      </c>
      <c r="I266" s="184">
        <f>IFERROR(IFERROR(VLOOKUP(E266,Bar!$B:$H,7,0),"")*G266,"")</f>
        <v>600</v>
      </c>
      <c r="J266" s="184">
        <f t="shared" si="2"/>
        <v>-2142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3"/>
      <c r="B267" s="175" t="str">
        <f t="shared" ref="B267:B281" si="52">IF(E267="","",B266+1)</f>
        <v/>
      </c>
      <c r="C267" s="176" t="str">
        <f t="shared" si="51"/>
        <v/>
      </c>
      <c r="D267" s="175">
        <f t="shared" si="26"/>
        <v>12</v>
      </c>
      <c r="E267" s="177"/>
      <c r="F267" s="177" t="str">
        <f>IFERROR(VLOOKUP(E267,Bar!$B:$C,2,0),"")</f>
        <v/>
      </c>
      <c r="G267" s="175"/>
      <c r="H267" s="175">
        <f>IFERROR(IFERROR(VLOOKUP(E267,Bar!$B:$D,3,0),"")*G267,"")</f>
        <v>0</v>
      </c>
      <c r="I267" s="175">
        <f>IFERROR(IFERROR(VLOOKUP(E267,Bar!$B:$H,7,0),"")*G267,"")</f>
        <v>0</v>
      </c>
      <c r="J267" s="175">
        <f t="shared" si="2"/>
        <v>0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3"/>
      <c r="B268" s="175" t="str">
        <f t="shared" si="52"/>
        <v/>
      </c>
      <c r="C268" s="176" t="str">
        <f t="shared" si="51"/>
        <v/>
      </c>
      <c r="D268" s="175">
        <f t="shared" si="26"/>
        <v>12</v>
      </c>
      <c r="E268" s="177"/>
      <c r="F268" s="177" t="str">
        <f>IFERROR(VLOOKUP(E268,Bar!$B:$C,2,0),"")</f>
        <v/>
      </c>
      <c r="G268" s="175"/>
      <c r="H268" s="175">
        <f>IFERROR(IFERROR(VLOOKUP(E268,Bar!$B:$D,3,0),"")*G268,"")</f>
        <v>0</v>
      </c>
      <c r="I268" s="175">
        <f>IFERROR(IFERROR(VLOOKUP(E268,Bar!$B:$H,7,0),"")*G268,"")</f>
        <v>0</v>
      </c>
      <c r="J268" s="175">
        <f t="shared" si="2"/>
        <v>0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3"/>
      <c r="B269" s="175" t="str">
        <f t="shared" si="52"/>
        <v/>
      </c>
      <c r="C269" s="176" t="str">
        <f t="shared" si="51"/>
        <v/>
      </c>
      <c r="D269" s="175">
        <f t="shared" si="26"/>
        <v>12</v>
      </c>
      <c r="E269" s="177"/>
      <c r="F269" s="177" t="str">
        <f>IFERROR(VLOOKUP(E269,Bar!$B:$C,2,0),"")</f>
        <v/>
      </c>
      <c r="G269" s="175"/>
      <c r="H269" s="175">
        <f>IFERROR(IFERROR(VLOOKUP(E269,Bar!$B:$D,3,0),"")*G269,"")</f>
        <v>0</v>
      </c>
      <c r="I269" s="175">
        <f>IFERROR(IFERROR(VLOOKUP(E269,Bar!$B:$H,7,0),"")*G269,"")</f>
        <v>0</v>
      </c>
      <c r="J269" s="175">
        <f t="shared" si="2"/>
        <v>0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3"/>
      <c r="B270" s="175" t="str">
        <f t="shared" si="52"/>
        <v/>
      </c>
      <c r="C270" s="176" t="str">
        <f t="shared" si="51"/>
        <v/>
      </c>
      <c r="D270" s="175">
        <f t="shared" si="26"/>
        <v>12</v>
      </c>
      <c r="E270" s="177"/>
      <c r="F270" s="177" t="str">
        <f>IFERROR(VLOOKUP(E270,Bar!$B:$C,2,0),"")</f>
        <v/>
      </c>
      <c r="G270" s="175"/>
      <c r="H270" s="175">
        <f>IFERROR(IFERROR(VLOOKUP(E270,Bar!$B:$D,3,0),"")*G270,"")</f>
        <v>0</v>
      </c>
      <c r="I270" s="175">
        <f>IFERROR(IFERROR(VLOOKUP(E270,Bar!$B:$H,7,0),"")*G270,"")</f>
        <v>0</v>
      </c>
      <c r="J270" s="175">
        <f t="shared" si="2"/>
        <v>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3"/>
      <c r="B271" s="175" t="str">
        <f t="shared" si="52"/>
        <v/>
      </c>
      <c r="C271" s="176" t="str">
        <f t="shared" si="51"/>
        <v/>
      </c>
      <c r="D271" s="175">
        <f t="shared" si="26"/>
        <v>12</v>
      </c>
      <c r="E271" s="177"/>
      <c r="F271" s="177" t="str">
        <f>IFERROR(VLOOKUP(E271,Bar!$B:$C,2,0),"")</f>
        <v/>
      </c>
      <c r="G271" s="175"/>
      <c r="H271" s="175">
        <f>IFERROR(IFERROR(VLOOKUP(E271,Bar!$B:$D,3,0),"")*G271,"")</f>
        <v>0</v>
      </c>
      <c r="I271" s="175">
        <f>IFERROR(IFERROR(VLOOKUP(E271,Bar!$B:$H,7,0),"")*G271,"")</f>
        <v>0</v>
      </c>
      <c r="J271" s="175">
        <f t="shared" si="2"/>
        <v>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3"/>
      <c r="B272" s="175" t="str">
        <f t="shared" si="52"/>
        <v/>
      </c>
      <c r="C272" s="176" t="str">
        <f t="shared" si="51"/>
        <v/>
      </c>
      <c r="D272" s="175">
        <f t="shared" si="26"/>
        <v>12</v>
      </c>
      <c r="E272" s="177"/>
      <c r="F272" s="177" t="str">
        <f>IFERROR(VLOOKUP(E272,Bar!$B:$C,2,0),"")</f>
        <v/>
      </c>
      <c r="G272" s="175"/>
      <c r="H272" s="175">
        <f>IFERROR(IFERROR(VLOOKUP(E272,Bar!$B:$D,3,0),"")*G272,"")</f>
        <v>0</v>
      </c>
      <c r="I272" s="175">
        <f>IFERROR(IFERROR(VLOOKUP(E272,Bar!$B:$H,7,0),"")*G272,"")</f>
        <v>0</v>
      </c>
      <c r="J272" s="175">
        <f t="shared" si="2"/>
        <v>0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3"/>
      <c r="B273" s="175" t="str">
        <f t="shared" si="52"/>
        <v/>
      </c>
      <c r="C273" s="176" t="str">
        <f t="shared" si="51"/>
        <v/>
      </c>
      <c r="D273" s="175">
        <f t="shared" si="26"/>
        <v>12</v>
      </c>
      <c r="E273" s="177"/>
      <c r="F273" s="177" t="str">
        <f>IFERROR(VLOOKUP(E273,Bar!$B:$C,2,0),"")</f>
        <v/>
      </c>
      <c r="G273" s="175"/>
      <c r="H273" s="175">
        <f>IFERROR(IFERROR(VLOOKUP(E273,Bar!$B:$D,3,0),"")*G273,"")</f>
        <v>0</v>
      </c>
      <c r="I273" s="175">
        <f>IFERROR(IFERROR(VLOOKUP(E273,Bar!$B:$H,7,0),"")*G273,"")</f>
        <v>0</v>
      </c>
      <c r="J273" s="175">
        <f t="shared" si="2"/>
        <v>0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3"/>
      <c r="B274" s="175" t="str">
        <f t="shared" si="52"/>
        <v/>
      </c>
      <c r="C274" s="176" t="str">
        <f t="shared" si="51"/>
        <v/>
      </c>
      <c r="D274" s="175">
        <f t="shared" si="26"/>
        <v>12</v>
      </c>
      <c r="E274" s="177"/>
      <c r="F274" s="177" t="str">
        <f>IFERROR(VLOOKUP(E274,Bar!$B:$C,2,0),"")</f>
        <v/>
      </c>
      <c r="G274" s="175"/>
      <c r="H274" s="175">
        <f>IFERROR(IFERROR(VLOOKUP(E274,Bar!$B:$D,3,0),"")*G274,"")</f>
        <v>0</v>
      </c>
      <c r="I274" s="175">
        <f>IFERROR(IFERROR(VLOOKUP(E274,Bar!$B:$H,7,0),"")*G274,"")</f>
        <v>0</v>
      </c>
      <c r="J274" s="175">
        <f t="shared" si="2"/>
        <v>0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3"/>
      <c r="B275" s="175" t="str">
        <f t="shared" si="52"/>
        <v/>
      </c>
      <c r="C275" s="176" t="str">
        <f t="shared" si="51"/>
        <v/>
      </c>
      <c r="D275" s="175">
        <f t="shared" si="26"/>
        <v>12</v>
      </c>
      <c r="E275" s="177"/>
      <c r="F275" s="177" t="str">
        <f>IFERROR(VLOOKUP(E275,Bar!$B:$C,2,0),"")</f>
        <v/>
      </c>
      <c r="G275" s="175"/>
      <c r="H275" s="175">
        <f>IFERROR(IFERROR(VLOOKUP(E275,Bar!$B:$D,3,0),"")*G275,"")</f>
        <v>0</v>
      </c>
      <c r="I275" s="175">
        <f>IFERROR(IFERROR(VLOOKUP(E275,Bar!$B:$H,7,0),"")*G275,"")</f>
        <v>0</v>
      </c>
      <c r="J275" s="175">
        <f t="shared" si="2"/>
        <v>0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3"/>
      <c r="B276" s="175" t="str">
        <f t="shared" si="52"/>
        <v/>
      </c>
      <c r="C276" s="176" t="str">
        <f t="shared" si="51"/>
        <v/>
      </c>
      <c r="D276" s="175">
        <f t="shared" si="26"/>
        <v>12</v>
      </c>
      <c r="E276" s="177"/>
      <c r="F276" s="177" t="str">
        <f>IFERROR(VLOOKUP(E276,Bar!$B:$C,2,0),"")</f>
        <v/>
      </c>
      <c r="G276" s="175"/>
      <c r="H276" s="175">
        <f>IFERROR(IFERROR(VLOOKUP(E276,Bar!$B:$D,3,0),"")*G276,"")</f>
        <v>0</v>
      </c>
      <c r="I276" s="175">
        <f>IFERROR(IFERROR(VLOOKUP(E276,Bar!$B:$H,7,0),"")*G276,"")</f>
        <v>0</v>
      </c>
      <c r="J276" s="175">
        <f t="shared" si="2"/>
        <v>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3"/>
      <c r="B277" s="175" t="str">
        <f t="shared" si="52"/>
        <v/>
      </c>
      <c r="C277" s="176" t="str">
        <f t="shared" si="51"/>
        <v/>
      </c>
      <c r="D277" s="175">
        <f t="shared" si="26"/>
        <v>12</v>
      </c>
      <c r="E277" s="177"/>
      <c r="F277" s="177" t="str">
        <f>IFERROR(VLOOKUP(E277,Bar!$B:$C,2,0),"")</f>
        <v/>
      </c>
      <c r="G277" s="175"/>
      <c r="H277" s="175">
        <f>IFERROR(IFERROR(VLOOKUP(E277,Bar!$B:$D,3,0),"")*G277,"")</f>
        <v>0</v>
      </c>
      <c r="I277" s="175">
        <f>IFERROR(IFERROR(VLOOKUP(E277,Bar!$B:$H,7,0),"")*G277,"")</f>
        <v>0</v>
      </c>
      <c r="J277" s="175">
        <f t="shared" si="2"/>
        <v>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3"/>
      <c r="B278" s="175" t="str">
        <f t="shared" si="52"/>
        <v/>
      </c>
      <c r="C278" s="176" t="str">
        <f t="shared" si="51"/>
        <v/>
      </c>
      <c r="D278" s="175">
        <f t="shared" si="26"/>
        <v>12</v>
      </c>
      <c r="E278" s="177"/>
      <c r="F278" s="177" t="str">
        <f>IFERROR(VLOOKUP(E278,Bar!$B:$C,2,0),"")</f>
        <v/>
      </c>
      <c r="G278" s="175"/>
      <c r="H278" s="175">
        <f>IFERROR(IFERROR(VLOOKUP(E278,Bar!$B:$D,3,0),"")*G278,"")</f>
        <v>0</v>
      </c>
      <c r="I278" s="175">
        <f>IFERROR(IFERROR(VLOOKUP(E278,Bar!$B:$H,7,0),"")*G278,"")</f>
        <v>0</v>
      </c>
      <c r="J278" s="175">
        <f t="shared" si="2"/>
        <v>0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3"/>
      <c r="B279" s="175" t="str">
        <f t="shared" si="52"/>
        <v/>
      </c>
      <c r="C279" s="176" t="str">
        <f t="shared" si="51"/>
        <v/>
      </c>
      <c r="D279" s="175">
        <f t="shared" si="26"/>
        <v>12</v>
      </c>
      <c r="E279" s="177"/>
      <c r="F279" s="177" t="str">
        <f>IFERROR(VLOOKUP(E279,Bar!$B:$C,2,0),"")</f>
        <v/>
      </c>
      <c r="G279" s="175"/>
      <c r="H279" s="175">
        <f>IFERROR(IFERROR(VLOOKUP(E279,Bar!$B:$D,3,0),"")*G279,"")</f>
        <v>0</v>
      </c>
      <c r="I279" s="175">
        <f>IFERROR(IFERROR(VLOOKUP(E279,Bar!$B:$H,7,0),"")*G279,"")</f>
        <v>0</v>
      </c>
      <c r="J279" s="175">
        <f t="shared" si="2"/>
        <v>0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3"/>
      <c r="B280" s="175" t="str">
        <f t="shared" si="52"/>
        <v/>
      </c>
      <c r="C280" s="176" t="str">
        <f t="shared" si="51"/>
        <v/>
      </c>
      <c r="D280" s="175">
        <f t="shared" si="26"/>
        <v>12</v>
      </c>
      <c r="E280" s="177"/>
      <c r="F280" s="177" t="str">
        <f>IFERROR(VLOOKUP(E280,Bar!$B:$C,2,0),"")</f>
        <v/>
      </c>
      <c r="G280" s="175"/>
      <c r="H280" s="175">
        <f>IFERROR(IFERROR(VLOOKUP(E280,Bar!$B:$D,3,0),"")*G280,"")</f>
        <v>0</v>
      </c>
      <c r="I280" s="175">
        <f>IFERROR(IFERROR(VLOOKUP(E280,Bar!$B:$H,7,0),"")*G280,"")</f>
        <v>0</v>
      </c>
      <c r="J280" s="175">
        <f t="shared" si="2"/>
        <v>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3"/>
      <c r="B281" s="175" t="str">
        <f t="shared" si="52"/>
        <v/>
      </c>
      <c r="C281" s="176" t="str">
        <f t="shared" si="51"/>
        <v/>
      </c>
      <c r="D281" s="175">
        <f t="shared" si="26"/>
        <v>12</v>
      </c>
      <c r="E281" s="177"/>
      <c r="F281" s="177" t="str">
        <f>IFERROR(VLOOKUP(E281,Bar!$B:$C,2,0),"")</f>
        <v/>
      </c>
      <c r="G281" s="175"/>
      <c r="H281" s="175">
        <f>IFERROR(IFERROR(VLOOKUP(E281,Bar!$B:$D,3,0),"")*G281,"")</f>
        <v>0</v>
      </c>
      <c r="I281" s="175">
        <f>IFERROR(IFERROR(VLOOKUP(E281,Bar!$B:$H,7,0),"")*G281,"")</f>
        <v>0</v>
      </c>
      <c r="J281" s="175">
        <f t="shared" si="2"/>
        <v>0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3"/>
      <c r="B282" s="175" t="str">
        <f>IF(E282="","",B128+1)</f>
        <v/>
      </c>
      <c r="C282" s="176" t="str">
        <f t="shared" si="51"/>
        <v/>
      </c>
      <c r="D282" s="175">
        <f t="shared" si="26"/>
        <v>12</v>
      </c>
      <c r="E282" s="177"/>
      <c r="F282" s="177" t="str">
        <f>IFERROR(VLOOKUP(E282,Bar!$B:$C,2,0),"")</f>
        <v/>
      </c>
      <c r="G282" s="175"/>
      <c r="H282" s="175">
        <f>IFERROR(IFERROR(VLOOKUP(E282,Bar!$B:$D,3,0),"")*G282,"")</f>
        <v>0</v>
      </c>
      <c r="I282" s="175">
        <f>IFERROR(IFERROR(VLOOKUP(E282,Bar!$B:$H,7,0),"")*G282,"")</f>
        <v>0</v>
      </c>
      <c r="J282" s="175">
        <f t="shared" si="2"/>
        <v>0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3"/>
      <c r="B283" s="175" t="str">
        <f t="shared" ref="B283:B298" si="53">IF(E283="","",B282+1)</f>
        <v/>
      </c>
      <c r="C283" s="176" t="str">
        <f t="shared" si="51"/>
        <v/>
      </c>
      <c r="D283" s="175">
        <f t="shared" si="26"/>
        <v>12</v>
      </c>
      <c r="E283" s="177"/>
      <c r="F283" s="177" t="str">
        <f>IFERROR(VLOOKUP(E283,Bar!$B:$C,2,0),"")</f>
        <v/>
      </c>
      <c r="G283" s="175"/>
      <c r="H283" s="175">
        <f>IFERROR(IFERROR(VLOOKUP(E283,Bar!$B:$D,3,0),"")*G283,"")</f>
        <v>0</v>
      </c>
      <c r="I283" s="175">
        <f>IFERROR(IFERROR(VLOOKUP(E283,Bar!$B:$H,7,0),"")*G283,"")</f>
        <v>0</v>
      </c>
      <c r="J283" s="175">
        <f t="shared" si="2"/>
        <v>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3"/>
      <c r="B284" s="175" t="str">
        <f t="shared" si="53"/>
        <v/>
      </c>
      <c r="C284" s="176" t="str">
        <f t="shared" si="51"/>
        <v/>
      </c>
      <c r="D284" s="175">
        <f t="shared" si="26"/>
        <v>12</v>
      </c>
      <c r="E284" s="177"/>
      <c r="F284" s="177" t="str">
        <f>IFERROR(VLOOKUP(E284,Bar!$B:$C,2,0),"")</f>
        <v/>
      </c>
      <c r="G284" s="175"/>
      <c r="H284" s="175">
        <f>IFERROR(IFERROR(VLOOKUP(E284,Bar!$B:$D,3,0),"")*G284,"")</f>
        <v>0</v>
      </c>
      <c r="I284" s="175">
        <f>IFERROR(IFERROR(VLOOKUP(E284,Bar!$B:$H,7,0),"")*G284,"")</f>
        <v>0</v>
      </c>
      <c r="J284" s="175">
        <f t="shared" si="2"/>
        <v>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3"/>
      <c r="B285" s="175" t="str">
        <f t="shared" si="53"/>
        <v/>
      </c>
      <c r="C285" s="176" t="str">
        <f t="shared" si="51"/>
        <v/>
      </c>
      <c r="D285" s="175">
        <f t="shared" si="26"/>
        <v>12</v>
      </c>
      <c r="E285" s="177"/>
      <c r="F285" s="177" t="str">
        <f>IFERROR(VLOOKUP(E285,Bar!$B:$C,2,0),"")</f>
        <v/>
      </c>
      <c r="G285" s="175"/>
      <c r="H285" s="175">
        <f>IFERROR(IFERROR(VLOOKUP(E285,Bar!$B:$D,3,0),"")*G285,"")</f>
        <v>0</v>
      </c>
      <c r="I285" s="175">
        <f>IFERROR(IFERROR(VLOOKUP(E285,Bar!$B:$H,7,0),"")*G285,"")</f>
        <v>0</v>
      </c>
      <c r="J285" s="175">
        <f t="shared" si="2"/>
        <v>0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3"/>
      <c r="B286" s="175" t="str">
        <f t="shared" si="53"/>
        <v/>
      </c>
      <c r="C286" s="176" t="str">
        <f t="shared" si="51"/>
        <v/>
      </c>
      <c r="D286" s="175">
        <f t="shared" si="26"/>
        <v>12</v>
      </c>
      <c r="E286" s="177"/>
      <c r="F286" s="177" t="str">
        <f>IFERROR(VLOOKUP(E286,Bar!$B:$C,2,0),"")</f>
        <v/>
      </c>
      <c r="G286" s="175"/>
      <c r="H286" s="175">
        <f>IFERROR(IFERROR(VLOOKUP(E286,Bar!$B:$D,3,0),"")*G286,"")</f>
        <v>0</v>
      </c>
      <c r="I286" s="175">
        <f>IFERROR(IFERROR(VLOOKUP(E286,Bar!$B:$H,7,0),"")*G286,"")</f>
        <v>0</v>
      </c>
      <c r="J286" s="175">
        <f t="shared" si="2"/>
        <v>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3"/>
      <c r="B287" s="175" t="str">
        <f t="shared" si="53"/>
        <v/>
      </c>
      <c r="C287" s="176" t="str">
        <f t="shared" si="51"/>
        <v/>
      </c>
      <c r="D287" s="175">
        <f t="shared" si="26"/>
        <v>12</v>
      </c>
      <c r="E287" s="177"/>
      <c r="F287" s="177" t="str">
        <f>IFERROR(VLOOKUP(E287,Bar!$B:$C,2,0),"")</f>
        <v/>
      </c>
      <c r="G287" s="175"/>
      <c r="H287" s="175">
        <f>IFERROR(IFERROR(VLOOKUP(E287,Bar!$B:$D,3,0),"")*G287,"")</f>
        <v>0</v>
      </c>
      <c r="I287" s="175">
        <f>IFERROR(IFERROR(VLOOKUP(E287,Bar!$B:$H,7,0),"")*G287,"")</f>
        <v>0</v>
      </c>
      <c r="J287" s="175">
        <f t="shared" si="2"/>
        <v>0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3"/>
      <c r="B288" s="175" t="str">
        <f t="shared" si="53"/>
        <v/>
      </c>
      <c r="C288" s="176" t="str">
        <f t="shared" si="51"/>
        <v/>
      </c>
      <c r="D288" s="175">
        <f t="shared" si="26"/>
        <v>12</v>
      </c>
      <c r="E288" s="177"/>
      <c r="F288" s="177" t="str">
        <f>IFERROR(VLOOKUP(E288,Bar!$B:$C,2,0),"")</f>
        <v/>
      </c>
      <c r="G288" s="175"/>
      <c r="H288" s="175">
        <f>IFERROR(IFERROR(VLOOKUP(E288,Bar!$B:$D,3,0),"")*G288,"")</f>
        <v>0</v>
      </c>
      <c r="I288" s="175">
        <f>IFERROR(IFERROR(VLOOKUP(E288,Bar!$B:$H,7,0),"")*G288,"")</f>
        <v>0</v>
      </c>
      <c r="J288" s="175">
        <f t="shared" si="2"/>
        <v>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3"/>
      <c r="B289" s="175" t="str">
        <f t="shared" si="53"/>
        <v/>
      </c>
      <c r="C289" s="176" t="str">
        <f t="shared" si="51"/>
        <v/>
      </c>
      <c r="D289" s="175">
        <f t="shared" si="26"/>
        <v>12</v>
      </c>
      <c r="E289" s="177"/>
      <c r="F289" s="177" t="str">
        <f>IFERROR(VLOOKUP(E289,Bar!$B:$C,2,0),"")</f>
        <v/>
      </c>
      <c r="G289" s="175"/>
      <c r="H289" s="175">
        <f>IFERROR(IFERROR(VLOOKUP(E289,Bar!$B:$D,3,0),"")*G289,"")</f>
        <v>0</v>
      </c>
      <c r="I289" s="175">
        <f>IFERROR(IFERROR(VLOOKUP(E289,Bar!$B:$H,7,0),"")*G289,"")</f>
        <v>0</v>
      </c>
      <c r="J289" s="175">
        <f t="shared" si="2"/>
        <v>0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3"/>
      <c r="B290" s="175" t="str">
        <f t="shared" si="53"/>
        <v/>
      </c>
      <c r="C290" s="176" t="str">
        <f t="shared" si="51"/>
        <v/>
      </c>
      <c r="D290" s="175">
        <f t="shared" si="26"/>
        <v>12</v>
      </c>
      <c r="E290" s="177"/>
      <c r="F290" s="177" t="str">
        <f>IFERROR(VLOOKUP(E290,Bar!$B:$C,2,0),"")</f>
        <v/>
      </c>
      <c r="G290" s="175"/>
      <c r="H290" s="175">
        <f>IFERROR(IFERROR(VLOOKUP(E290,Bar!$B:$D,3,0),"")*G290,"")</f>
        <v>0</v>
      </c>
      <c r="I290" s="175">
        <f>IFERROR(IFERROR(VLOOKUP(E290,Bar!$B:$H,7,0),"")*G290,"")</f>
        <v>0</v>
      </c>
      <c r="J290" s="175">
        <f t="shared" si="2"/>
        <v>0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3"/>
      <c r="B291" s="175" t="str">
        <f t="shared" si="53"/>
        <v/>
      </c>
      <c r="C291" s="176" t="str">
        <f t="shared" si="51"/>
        <v/>
      </c>
      <c r="D291" s="175">
        <f t="shared" si="26"/>
        <v>12</v>
      </c>
      <c r="E291" s="177"/>
      <c r="F291" s="177" t="str">
        <f>IFERROR(VLOOKUP(E291,Bar!$B:$C,2,0),"")</f>
        <v/>
      </c>
      <c r="G291" s="175"/>
      <c r="H291" s="175">
        <f>IFERROR(IFERROR(VLOOKUP(E291,Bar!$B:$D,3,0),"")*G291,"")</f>
        <v>0</v>
      </c>
      <c r="I291" s="175">
        <f>IFERROR(IFERROR(VLOOKUP(E291,Bar!$B:$H,7,0),"")*G291,"")</f>
        <v>0</v>
      </c>
      <c r="J291" s="175">
        <f t="shared" si="2"/>
        <v>0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3"/>
      <c r="B292" s="175" t="str">
        <f t="shared" si="53"/>
        <v/>
      </c>
      <c r="C292" s="176" t="str">
        <f t="shared" si="51"/>
        <v/>
      </c>
      <c r="D292" s="175">
        <f t="shared" si="26"/>
        <v>12</v>
      </c>
      <c r="E292" s="177"/>
      <c r="F292" s="177" t="str">
        <f>IFERROR(VLOOKUP(E292,Bar!$B:$C,2,0),"")</f>
        <v/>
      </c>
      <c r="G292" s="175"/>
      <c r="H292" s="175">
        <f>IFERROR(IFERROR(VLOOKUP(E292,Bar!$B:$D,3,0),"")*G292,"")</f>
        <v>0</v>
      </c>
      <c r="I292" s="175">
        <f>IFERROR(IFERROR(VLOOKUP(E292,Bar!$B:$H,7,0),"")*G292,"")</f>
        <v>0</v>
      </c>
      <c r="J292" s="175">
        <f t="shared" si="2"/>
        <v>0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3"/>
      <c r="B293" s="175" t="str">
        <f t="shared" si="53"/>
        <v/>
      </c>
      <c r="C293" s="176" t="str">
        <f t="shared" si="51"/>
        <v/>
      </c>
      <c r="D293" s="175">
        <f t="shared" si="26"/>
        <v>12</v>
      </c>
      <c r="E293" s="177"/>
      <c r="F293" s="177" t="str">
        <f>IFERROR(VLOOKUP(E293,Bar!$B:$C,2,0),"")</f>
        <v/>
      </c>
      <c r="G293" s="175"/>
      <c r="H293" s="175">
        <f>IFERROR(IFERROR(VLOOKUP(E293,Bar!$B:$D,3,0),"")*G293,"")</f>
        <v>0</v>
      </c>
      <c r="I293" s="175">
        <f>IFERROR(IFERROR(VLOOKUP(E293,Bar!$B:$H,7,0),"")*G293,"")</f>
        <v>0</v>
      </c>
      <c r="J293" s="175">
        <f t="shared" si="2"/>
        <v>0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3"/>
      <c r="B294" s="175" t="str">
        <f t="shared" si="53"/>
        <v/>
      </c>
      <c r="C294" s="176" t="str">
        <f t="shared" si="51"/>
        <v/>
      </c>
      <c r="D294" s="175">
        <f t="shared" si="26"/>
        <v>12</v>
      </c>
      <c r="E294" s="177"/>
      <c r="F294" s="177" t="str">
        <f>IFERROR(VLOOKUP(E294,Bar!$B:$C,2,0),"")</f>
        <v/>
      </c>
      <c r="G294" s="175"/>
      <c r="H294" s="175">
        <f>IFERROR(IFERROR(VLOOKUP(E294,Bar!$B:$D,3,0),"")*G294,"")</f>
        <v>0</v>
      </c>
      <c r="I294" s="175">
        <f>IFERROR(IFERROR(VLOOKUP(E294,Bar!$B:$H,7,0),"")*G294,"")</f>
        <v>0</v>
      </c>
      <c r="J294" s="175">
        <f t="shared" si="2"/>
        <v>0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3"/>
      <c r="B295" s="175" t="str">
        <f t="shared" si="53"/>
        <v/>
      </c>
      <c r="C295" s="176" t="str">
        <f t="shared" si="51"/>
        <v/>
      </c>
      <c r="D295" s="175">
        <f t="shared" si="26"/>
        <v>12</v>
      </c>
      <c r="E295" s="177"/>
      <c r="F295" s="177" t="str">
        <f>IFERROR(VLOOKUP(E295,Bar!$B:$C,2,0),"")</f>
        <v/>
      </c>
      <c r="G295" s="175"/>
      <c r="H295" s="175">
        <f>IFERROR(IFERROR(VLOOKUP(E295,Bar!$B:$D,3,0),"")*G295,"")</f>
        <v>0</v>
      </c>
      <c r="I295" s="175">
        <f>IFERROR(IFERROR(VLOOKUP(E295,Bar!$B:$H,7,0),"")*G295,"")</f>
        <v>0</v>
      </c>
      <c r="J295" s="175">
        <f t="shared" si="2"/>
        <v>0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3"/>
      <c r="B296" s="175" t="str">
        <f t="shared" si="53"/>
        <v/>
      </c>
      <c r="C296" s="176" t="str">
        <f t="shared" si="51"/>
        <v/>
      </c>
      <c r="D296" s="175">
        <f t="shared" si="26"/>
        <v>12</v>
      </c>
      <c r="E296" s="177"/>
      <c r="F296" s="177" t="str">
        <f>IFERROR(VLOOKUP(E296,Bar!$B:$C,2,0),"")</f>
        <v/>
      </c>
      <c r="G296" s="175"/>
      <c r="H296" s="175">
        <f>IFERROR(IFERROR(VLOOKUP(E296,Bar!$B:$D,3,0),"")*G296,"")</f>
        <v>0</v>
      </c>
      <c r="I296" s="175">
        <f>IFERROR(IFERROR(VLOOKUP(E296,Bar!$B:$H,7,0),"")*G296,"")</f>
        <v>0</v>
      </c>
      <c r="J296" s="175">
        <f t="shared" si="2"/>
        <v>0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3"/>
      <c r="B297" s="175" t="str">
        <f t="shared" si="53"/>
        <v/>
      </c>
      <c r="C297" s="176" t="str">
        <f t="shared" si="51"/>
        <v/>
      </c>
      <c r="D297" s="175">
        <f t="shared" si="26"/>
        <v>12</v>
      </c>
      <c r="E297" s="177"/>
      <c r="F297" s="177" t="str">
        <f>IFERROR(VLOOKUP(E297,Bar!$B:$C,2,0),"")</f>
        <v/>
      </c>
      <c r="G297" s="175"/>
      <c r="H297" s="175">
        <f>IFERROR(IFERROR(VLOOKUP(E297,Bar!$B:$D,3,0),"")*G297,"")</f>
        <v>0</v>
      </c>
      <c r="I297" s="175">
        <f>IFERROR(IFERROR(VLOOKUP(E297,Bar!$B:$H,7,0),"")*G297,"")</f>
        <v>0</v>
      </c>
      <c r="J297" s="175">
        <f t="shared" si="2"/>
        <v>0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3"/>
      <c r="B298" s="175" t="str">
        <f t="shared" si="53"/>
        <v/>
      </c>
      <c r="C298" s="176" t="str">
        <f t="shared" si="51"/>
        <v/>
      </c>
      <c r="D298" s="175">
        <f t="shared" si="26"/>
        <v>12</v>
      </c>
      <c r="E298" s="177"/>
      <c r="F298" s="177" t="str">
        <f>IFERROR(VLOOKUP(E298,Bar!$B:$C,2,0),"")</f>
        <v/>
      </c>
      <c r="G298" s="175"/>
      <c r="H298" s="175">
        <f>IFERROR(IFERROR(VLOOKUP(E298,Bar!$B:$D,3,0),"")*G298,"")</f>
        <v>0</v>
      </c>
      <c r="I298" s="175">
        <f>IFERROR(IFERROR(VLOOKUP(E298,Bar!$B:$H,7,0),"")*G298,"")</f>
        <v>0</v>
      </c>
      <c r="J298" s="175">
        <f t="shared" si="2"/>
        <v>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3"/>
      <c r="B299" s="175" t="str">
        <f>IF(E299="","",B145+1)</f>
        <v/>
      </c>
      <c r="C299" s="176" t="str">
        <f t="shared" si="51"/>
        <v/>
      </c>
      <c r="D299" s="175">
        <f t="shared" si="26"/>
        <v>12</v>
      </c>
      <c r="E299" s="177"/>
      <c r="F299" s="177" t="str">
        <f>IFERROR(VLOOKUP(E299,Bar!$B:$C,2,0),"")</f>
        <v/>
      </c>
      <c r="G299" s="175"/>
      <c r="H299" s="175">
        <f>IFERROR(IFERROR(VLOOKUP(E299,Bar!$B:$D,3,0),"")*G299,"")</f>
        <v>0</v>
      </c>
      <c r="I299" s="175">
        <f>IFERROR(IFERROR(VLOOKUP(E299,Bar!$B:$H,7,0),"")*G299,"")</f>
        <v>0</v>
      </c>
      <c r="J299" s="175">
        <f t="shared" si="2"/>
        <v>0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3"/>
      <c r="B300" s="175" t="str">
        <f t="shared" ref="B300:B315" si="54">IF(E300="","",B299+1)</f>
        <v/>
      </c>
      <c r="C300" s="176" t="str">
        <f t="shared" si="51"/>
        <v/>
      </c>
      <c r="D300" s="175">
        <f t="shared" si="26"/>
        <v>12</v>
      </c>
      <c r="E300" s="177"/>
      <c r="F300" s="177" t="str">
        <f>IFERROR(VLOOKUP(E300,Bar!$B:$C,2,0),"")</f>
        <v/>
      </c>
      <c r="G300" s="175"/>
      <c r="H300" s="175">
        <f>IFERROR(IFERROR(VLOOKUP(E300,Bar!$B:$D,3,0),"")*G300,"")</f>
        <v>0</v>
      </c>
      <c r="I300" s="175">
        <f>IFERROR(IFERROR(VLOOKUP(E300,Bar!$B:$H,7,0),"")*G300,"")</f>
        <v>0</v>
      </c>
      <c r="J300" s="175">
        <f t="shared" si="2"/>
        <v>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3"/>
      <c r="B301" s="175" t="str">
        <f t="shared" si="54"/>
        <v/>
      </c>
      <c r="C301" s="176" t="str">
        <f t="shared" si="51"/>
        <v/>
      </c>
      <c r="D301" s="175">
        <f t="shared" si="26"/>
        <v>12</v>
      </c>
      <c r="E301" s="177"/>
      <c r="F301" s="177" t="str">
        <f>IFERROR(VLOOKUP(E301,Bar!$B:$C,2,0),"")</f>
        <v/>
      </c>
      <c r="G301" s="175"/>
      <c r="H301" s="175">
        <f>IFERROR(IFERROR(VLOOKUP(E301,Bar!$B:$D,3,0),"")*G301,"")</f>
        <v>0</v>
      </c>
      <c r="I301" s="175">
        <f>IFERROR(IFERROR(VLOOKUP(E301,Bar!$B:$H,7,0),"")*G301,"")</f>
        <v>0</v>
      </c>
      <c r="J301" s="175">
        <f t="shared" si="2"/>
        <v>0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3"/>
      <c r="B302" s="175" t="str">
        <f t="shared" si="54"/>
        <v/>
      </c>
      <c r="C302" s="176" t="str">
        <f t="shared" si="51"/>
        <v/>
      </c>
      <c r="D302" s="175">
        <f t="shared" si="26"/>
        <v>12</v>
      </c>
      <c r="E302" s="177"/>
      <c r="F302" s="177" t="str">
        <f>IFERROR(VLOOKUP(E302,Bar!$B:$C,2,0),"")</f>
        <v/>
      </c>
      <c r="G302" s="175"/>
      <c r="H302" s="175">
        <f>IFERROR(IFERROR(VLOOKUP(E302,Bar!$B:$D,3,0),"")*G302,"")</f>
        <v>0</v>
      </c>
      <c r="I302" s="175">
        <f>IFERROR(IFERROR(VLOOKUP(E302,Bar!$B:$H,7,0),"")*G302,"")</f>
        <v>0</v>
      </c>
      <c r="J302" s="175">
        <f t="shared" si="2"/>
        <v>0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3"/>
      <c r="B303" s="175" t="str">
        <f t="shared" si="54"/>
        <v/>
      </c>
      <c r="C303" s="176" t="str">
        <f t="shared" si="51"/>
        <v/>
      </c>
      <c r="D303" s="175">
        <f t="shared" si="26"/>
        <v>12</v>
      </c>
      <c r="E303" s="177"/>
      <c r="F303" s="177" t="str">
        <f>IFERROR(VLOOKUP(E303,Bar!$B:$C,2,0),"")</f>
        <v/>
      </c>
      <c r="G303" s="175"/>
      <c r="H303" s="175">
        <f>IFERROR(IFERROR(VLOOKUP(E303,Bar!$B:$D,3,0),"")*G303,"")</f>
        <v>0</v>
      </c>
      <c r="I303" s="175">
        <f>IFERROR(IFERROR(VLOOKUP(E303,Bar!$B:$H,7,0),"")*G303,"")</f>
        <v>0</v>
      </c>
      <c r="J303" s="175">
        <f t="shared" si="2"/>
        <v>0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3"/>
      <c r="B304" s="175" t="str">
        <f t="shared" si="54"/>
        <v/>
      </c>
      <c r="C304" s="176" t="str">
        <f t="shared" si="51"/>
        <v/>
      </c>
      <c r="D304" s="175">
        <f t="shared" si="26"/>
        <v>12</v>
      </c>
      <c r="E304" s="177"/>
      <c r="F304" s="177" t="str">
        <f>IFERROR(VLOOKUP(E304,Bar!$B:$C,2,0),"")</f>
        <v/>
      </c>
      <c r="G304" s="175"/>
      <c r="H304" s="175">
        <f>IFERROR(IFERROR(VLOOKUP(E304,Bar!$B:$D,3,0),"")*G304,"")</f>
        <v>0</v>
      </c>
      <c r="I304" s="175">
        <f>IFERROR(IFERROR(VLOOKUP(E304,Bar!$B:$H,7,0),"")*G304,"")</f>
        <v>0</v>
      </c>
      <c r="J304" s="175">
        <f t="shared" si="2"/>
        <v>0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3"/>
      <c r="B305" s="175" t="str">
        <f t="shared" si="54"/>
        <v/>
      </c>
      <c r="C305" s="176" t="str">
        <f t="shared" si="51"/>
        <v/>
      </c>
      <c r="D305" s="175">
        <f t="shared" si="26"/>
        <v>12</v>
      </c>
      <c r="E305" s="177"/>
      <c r="F305" s="177" t="str">
        <f>IFERROR(VLOOKUP(E305,Bar!$B:$C,2,0),"")</f>
        <v/>
      </c>
      <c r="G305" s="175"/>
      <c r="H305" s="175">
        <f>IFERROR(IFERROR(VLOOKUP(E305,Bar!$B:$D,3,0),"")*G305,"")</f>
        <v>0</v>
      </c>
      <c r="I305" s="175">
        <f>IFERROR(IFERROR(VLOOKUP(E305,Bar!$B:$H,7,0),"")*G305,"")</f>
        <v>0</v>
      </c>
      <c r="J305" s="175">
        <f t="shared" si="2"/>
        <v>0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3"/>
      <c r="B306" s="175" t="str">
        <f t="shared" si="54"/>
        <v/>
      </c>
      <c r="C306" s="176" t="str">
        <f t="shared" si="51"/>
        <v/>
      </c>
      <c r="D306" s="175">
        <f t="shared" si="26"/>
        <v>12</v>
      </c>
      <c r="E306" s="177"/>
      <c r="F306" s="177" t="str">
        <f>IFERROR(VLOOKUP(E306,Bar!$B:$C,2,0),"")</f>
        <v/>
      </c>
      <c r="G306" s="175"/>
      <c r="H306" s="175">
        <f>IFERROR(IFERROR(VLOOKUP(E306,Bar!$B:$D,3,0),"")*G306,"")</f>
        <v>0</v>
      </c>
      <c r="I306" s="175">
        <f>IFERROR(IFERROR(VLOOKUP(E306,Bar!$B:$H,7,0),"")*G306,"")</f>
        <v>0</v>
      </c>
      <c r="J306" s="175">
        <f t="shared" si="2"/>
        <v>0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3"/>
      <c r="B307" s="175" t="str">
        <f t="shared" si="54"/>
        <v/>
      </c>
      <c r="C307" s="176" t="str">
        <f t="shared" si="51"/>
        <v/>
      </c>
      <c r="D307" s="175">
        <f t="shared" si="26"/>
        <v>12</v>
      </c>
      <c r="E307" s="177"/>
      <c r="F307" s="177" t="str">
        <f>IFERROR(VLOOKUP(E307,Bar!$B:$C,2,0),"")</f>
        <v/>
      </c>
      <c r="G307" s="175"/>
      <c r="H307" s="175">
        <f>IFERROR(IFERROR(VLOOKUP(E307,Bar!$B:$D,3,0),"")*G307,"")</f>
        <v>0</v>
      </c>
      <c r="I307" s="175">
        <f>IFERROR(IFERROR(VLOOKUP(E307,Bar!$B:$H,7,0),"")*G307,"")</f>
        <v>0</v>
      </c>
      <c r="J307" s="175">
        <f t="shared" si="2"/>
        <v>0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3"/>
      <c r="B308" s="175" t="str">
        <f t="shared" si="54"/>
        <v/>
      </c>
      <c r="C308" s="176" t="str">
        <f t="shared" si="51"/>
        <v/>
      </c>
      <c r="D308" s="175">
        <f t="shared" si="26"/>
        <v>12</v>
      </c>
      <c r="E308" s="177"/>
      <c r="F308" s="177" t="str">
        <f>IFERROR(VLOOKUP(E308,Bar!$B:$C,2,0),"")</f>
        <v/>
      </c>
      <c r="G308" s="175"/>
      <c r="H308" s="175">
        <f>IFERROR(IFERROR(VLOOKUP(E308,Bar!$B:$D,3,0),"")*G308,"")</f>
        <v>0</v>
      </c>
      <c r="I308" s="175">
        <f>IFERROR(IFERROR(VLOOKUP(E308,Bar!$B:$H,7,0),"")*G308,"")</f>
        <v>0</v>
      </c>
      <c r="J308" s="175">
        <f t="shared" si="2"/>
        <v>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3"/>
      <c r="B309" s="175" t="str">
        <f t="shared" si="54"/>
        <v/>
      </c>
      <c r="C309" s="176" t="str">
        <f t="shared" si="51"/>
        <v/>
      </c>
      <c r="D309" s="175">
        <f t="shared" si="26"/>
        <v>12</v>
      </c>
      <c r="E309" s="177"/>
      <c r="F309" s="177" t="str">
        <f>IFERROR(VLOOKUP(E309,Bar!$B:$C,2,0),"")</f>
        <v/>
      </c>
      <c r="G309" s="175"/>
      <c r="H309" s="175">
        <f>IFERROR(IFERROR(VLOOKUP(E309,Bar!$B:$D,3,0),"")*G309,"")</f>
        <v>0</v>
      </c>
      <c r="I309" s="175">
        <f>IFERROR(IFERROR(VLOOKUP(E309,Bar!$B:$H,7,0),"")*G309,"")</f>
        <v>0</v>
      </c>
      <c r="J309" s="175">
        <f t="shared" si="2"/>
        <v>0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3"/>
      <c r="B310" s="175" t="str">
        <f t="shared" si="54"/>
        <v/>
      </c>
      <c r="C310" s="176" t="str">
        <f t="shared" si="51"/>
        <v/>
      </c>
      <c r="D310" s="175">
        <f t="shared" si="26"/>
        <v>12</v>
      </c>
      <c r="E310" s="177"/>
      <c r="F310" s="177" t="str">
        <f>IFERROR(VLOOKUP(E310,Bar!$B:$C,2,0),"")</f>
        <v/>
      </c>
      <c r="G310" s="175"/>
      <c r="H310" s="175">
        <f>IFERROR(IFERROR(VLOOKUP(E310,Bar!$B:$D,3,0),"")*G310,"")</f>
        <v>0</v>
      </c>
      <c r="I310" s="175">
        <f>IFERROR(IFERROR(VLOOKUP(E310,Bar!$B:$H,7,0),"")*G310,"")</f>
        <v>0</v>
      </c>
      <c r="J310" s="175">
        <f t="shared" si="2"/>
        <v>0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3"/>
      <c r="B311" s="175" t="str">
        <f t="shared" si="54"/>
        <v/>
      </c>
      <c r="C311" s="176" t="str">
        <f t="shared" si="51"/>
        <v/>
      </c>
      <c r="D311" s="175">
        <f t="shared" si="26"/>
        <v>12</v>
      </c>
      <c r="E311" s="177"/>
      <c r="F311" s="177" t="str">
        <f>IFERROR(VLOOKUP(E311,Bar!$B:$C,2,0),"")</f>
        <v/>
      </c>
      <c r="G311" s="175"/>
      <c r="H311" s="175">
        <f>IFERROR(IFERROR(VLOOKUP(E311,Bar!$B:$D,3,0),"")*G311,"")</f>
        <v>0</v>
      </c>
      <c r="I311" s="175">
        <f>IFERROR(IFERROR(VLOOKUP(E311,Bar!$B:$H,7,0),"")*G311,"")</f>
        <v>0</v>
      </c>
      <c r="J311" s="175">
        <f t="shared" si="2"/>
        <v>0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3"/>
      <c r="B312" s="175" t="str">
        <f t="shared" si="54"/>
        <v/>
      </c>
      <c r="C312" s="176" t="str">
        <f t="shared" si="51"/>
        <v/>
      </c>
      <c r="D312" s="175">
        <f t="shared" si="26"/>
        <v>12</v>
      </c>
      <c r="E312" s="177"/>
      <c r="F312" s="177" t="str">
        <f>IFERROR(VLOOKUP(E312,Bar!$B:$C,2,0),"")</f>
        <v/>
      </c>
      <c r="G312" s="175"/>
      <c r="H312" s="175">
        <f>IFERROR(IFERROR(VLOOKUP(E312,Bar!$B:$D,3,0),"")*G312,"")</f>
        <v>0</v>
      </c>
      <c r="I312" s="175">
        <f>IFERROR(IFERROR(VLOOKUP(E312,Bar!$B:$H,7,0),"")*G312,"")</f>
        <v>0</v>
      </c>
      <c r="J312" s="175">
        <f t="shared" si="2"/>
        <v>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3"/>
      <c r="B313" s="175" t="str">
        <f t="shared" si="54"/>
        <v/>
      </c>
      <c r="C313" s="176" t="str">
        <f t="shared" si="51"/>
        <v/>
      </c>
      <c r="D313" s="175">
        <f t="shared" si="26"/>
        <v>12</v>
      </c>
      <c r="E313" s="177"/>
      <c r="F313" s="177" t="str">
        <f>IFERROR(VLOOKUP(E313,Bar!$B:$C,2,0),"")</f>
        <v/>
      </c>
      <c r="G313" s="175"/>
      <c r="H313" s="175">
        <f>IFERROR(IFERROR(VLOOKUP(E313,Bar!$B:$D,3,0),"")*G313,"")</f>
        <v>0</v>
      </c>
      <c r="I313" s="175">
        <f>IFERROR(IFERROR(VLOOKUP(E313,Bar!$B:$H,7,0),"")*G313,"")</f>
        <v>0</v>
      </c>
      <c r="J313" s="175">
        <f t="shared" si="2"/>
        <v>0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3"/>
      <c r="B314" s="175" t="str">
        <f t="shared" si="54"/>
        <v/>
      </c>
      <c r="C314" s="176" t="str">
        <f t="shared" si="51"/>
        <v/>
      </c>
      <c r="D314" s="175">
        <f t="shared" si="26"/>
        <v>12</v>
      </c>
      <c r="E314" s="177"/>
      <c r="F314" s="177" t="str">
        <f>IFERROR(VLOOKUP(E314,Bar!$B:$C,2,0),"")</f>
        <v/>
      </c>
      <c r="G314" s="175"/>
      <c r="H314" s="175">
        <f>IFERROR(IFERROR(VLOOKUP(E314,Bar!$B:$D,3,0),"")*G314,"")</f>
        <v>0</v>
      </c>
      <c r="I314" s="175">
        <f>IFERROR(IFERROR(VLOOKUP(E314,Bar!$B:$H,7,0),"")*G314,"")</f>
        <v>0</v>
      </c>
      <c r="J314" s="175">
        <f t="shared" si="2"/>
        <v>0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3"/>
      <c r="B315" s="175" t="str">
        <f t="shared" si="54"/>
        <v/>
      </c>
      <c r="C315" s="176" t="str">
        <f t="shared" si="51"/>
        <v/>
      </c>
      <c r="D315" s="175">
        <f t="shared" si="26"/>
        <v>12</v>
      </c>
      <c r="E315" s="177"/>
      <c r="F315" s="177" t="str">
        <f>IFERROR(VLOOKUP(E315,Bar!$B:$C,2,0),"")</f>
        <v/>
      </c>
      <c r="G315" s="175"/>
      <c r="H315" s="175">
        <f>IFERROR(IFERROR(VLOOKUP(E315,Bar!$B:$D,3,0),"")*G315,"")</f>
        <v>0</v>
      </c>
      <c r="I315" s="175">
        <f>IFERROR(IFERROR(VLOOKUP(E315,Bar!$B:$H,7,0),"")*G315,"")</f>
        <v>0</v>
      </c>
      <c r="J315" s="175">
        <f t="shared" si="2"/>
        <v>0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3"/>
      <c r="B316" s="175" t="str">
        <f>IF(E316="","",B162+1)</f>
        <v/>
      </c>
      <c r="C316" s="176" t="str">
        <f t="shared" si="51"/>
        <v/>
      </c>
      <c r="D316" s="175">
        <f t="shared" si="26"/>
        <v>12</v>
      </c>
      <c r="E316" s="177"/>
      <c r="F316" s="177" t="str">
        <f>IFERROR(VLOOKUP(E316,Bar!$B:$C,2,0),"")</f>
        <v/>
      </c>
      <c r="G316" s="175"/>
      <c r="H316" s="175">
        <f>IFERROR(IFERROR(VLOOKUP(E316,Bar!$B:$D,3,0),"")*G316,"")</f>
        <v>0</v>
      </c>
      <c r="I316" s="175">
        <f>IFERROR(IFERROR(VLOOKUP(E316,Bar!$B:$H,7,0),"")*G316,"")</f>
        <v>0</v>
      </c>
      <c r="J316" s="175">
        <f t="shared" si="2"/>
        <v>0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3"/>
      <c r="B317" s="175" t="str">
        <f t="shared" ref="B317:B332" si="55">IF(E317="","",B316+1)</f>
        <v/>
      </c>
      <c r="C317" s="176" t="str">
        <f t="shared" si="51"/>
        <v/>
      </c>
      <c r="D317" s="175">
        <f t="shared" si="26"/>
        <v>12</v>
      </c>
      <c r="E317" s="177"/>
      <c r="F317" s="177" t="str">
        <f>IFERROR(VLOOKUP(E317,Bar!$B:$C,2,0),"")</f>
        <v/>
      </c>
      <c r="G317" s="175"/>
      <c r="H317" s="175">
        <f>IFERROR(IFERROR(VLOOKUP(E317,Bar!$B:$D,3,0),"")*G317,"")</f>
        <v>0</v>
      </c>
      <c r="I317" s="175">
        <f>IFERROR(IFERROR(VLOOKUP(E317,Bar!$B:$H,7,0),"")*G317,"")</f>
        <v>0</v>
      </c>
      <c r="J317" s="175">
        <f t="shared" si="2"/>
        <v>0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3"/>
      <c r="B318" s="175" t="str">
        <f t="shared" si="55"/>
        <v/>
      </c>
      <c r="C318" s="176" t="str">
        <f t="shared" si="51"/>
        <v/>
      </c>
      <c r="D318" s="175">
        <f t="shared" si="26"/>
        <v>12</v>
      </c>
      <c r="E318" s="177"/>
      <c r="F318" s="177" t="str">
        <f>IFERROR(VLOOKUP(E318,Bar!$B:$C,2,0),"")</f>
        <v/>
      </c>
      <c r="G318" s="175"/>
      <c r="H318" s="175">
        <f>IFERROR(IFERROR(VLOOKUP(E318,Bar!$B:$D,3,0),"")*G318,"")</f>
        <v>0</v>
      </c>
      <c r="I318" s="175">
        <f>IFERROR(IFERROR(VLOOKUP(E318,Bar!$B:$H,7,0),"")*G318,"")</f>
        <v>0</v>
      </c>
      <c r="J318" s="175">
        <f t="shared" si="2"/>
        <v>0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3"/>
      <c r="B319" s="175" t="str">
        <f t="shared" si="55"/>
        <v/>
      </c>
      <c r="C319" s="176" t="str">
        <f t="shared" si="51"/>
        <v/>
      </c>
      <c r="D319" s="175">
        <f t="shared" si="26"/>
        <v>12</v>
      </c>
      <c r="E319" s="177"/>
      <c r="F319" s="177" t="str">
        <f>IFERROR(VLOOKUP(E319,Bar!$B:$C,2,0),"")</f>
        <v/>
      </c>
      <c r="G319" s="175"/>
      <c r="H319" s="175">
        <f>IFERROR(IFERROR(VLOOKUP(E319,Bar!$B:$D,3,0),"")*G319,"")</f>
        <v>0</v>
      </c>
      <c r="I319" s="175">
        <f>IFERROR(IFERROR(VLOOKUP(E319,Bar!$B:$H,7,0),"")*G319,"")</f>
        <v>0</v>
      </c>
      <c r="J319" s="175">
        <f t="shared" si="2"/>
        <v>0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3"/>
      <c r="B320" s="175" t="str">
        <f t="shared" si="55"/>
        <v/>
      </c>
      <c r="C320" s="176" t="str">
        <f t="shared" si="51"/>
        <v/>
      </c>
      <c r="D320" s="175">
        <f t="shared" si="26"/>
        <v>12</v>
      </c>
      <c r="E320" s="177"/>
      <c r="F320" s="177" t="str">
        <f>IFERROR(VLOOKUP(E320,Bar!$B:$C,2,0),"")</f>
        <v/>
      </c>
      <c r="G320" s="175"/>
      <c r="H320" s="175">
        <f>IFERROR(IFERROR(VLOOKUP(E320,Bar!$B:$D,3,0),"")*G320,"")</f>
        <v>0</v>
      </c>
      <c r="I320" s="175">
        <f>IFERROR(IFERROR(VLOOKUP(E320,Bar!$B:$H,7,0),"")*G320,"")</f>
        <v>0</v>
      </c>
      <c r="J320" s="175">
        <f t="shared" si="2"/>
        <v>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3"/>
      <c r="B321" s="175" t="str">
        <f t="shared" si="55"/>
        <v/>
      </c>
      <c r="C321" s="176" t="str">
        <f t="shared" si="51"/>
        <v/>
      </c>
      <c r="D321" s="175">
        <f t="shared" si="26"/>
        <v>12</v>
      </c>
      <c r="E321" s="177"/>
      <c r="F321" s="177" t="str">
        <f>IFERROR(VLOOKUP(E321,Bar!$B:$C,2,0),"")</f>
        <v/>
      </c>
      <c r="G321" s="175"/>
      <c r="H321" s="175">
        <f>IFERROR(IFERROR(VLOOKUP(E321,Bar!$B:$D,3,0),"")*G321,"")</f>
        <v>0</v>
      </c>
      <c r="I321" s="175">
        <f>IFERROR(IFERROR(VLOOKUP(E321,Bar!$B:$H,7,0),"")*G321,"")</f>
        <v>0</v>
      </c>
      <c r="J321" s="175">
        <f t="shared" si="2"/>
        <v>0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3"/>
      <c r="B322" s="175" t="str">
        <f t="shared" si="55"/>
        <v/>
      </c>
      <c r="C322" s="176" t="str">
        <f t="shared" si="51"/>
        <v/>
      </c>
      <c r="D322" s="175">
        <f t="shared" si="26"/>
        <v>12</v>
      </c>
      <c r="E322" s="177"/>
      <c r="F322" s="177" t="str">
        <f>IFERROR(VLOOKUP(E322,Bar!$B:$C,2,0),"")</f>
        <v/>
      </c>
      <c r="G322" s="175"/>
      <c r="H322" s="175">
        <f>IFERROR(IFERROR(VLOOKUP(E322,Bar!$B:$D,3,0),"")*G322,"")</f>
        <v>0</v>
      </c>
      <c r="I322" s="175">
        <f>IFERROR(IFERROR(VLOOKUP(E322,Bar!$B:$H,7,0),"")*G322,"")</f>
        <v>0</v>
      </c>
      <c r="J322" s="175">
        <f t="shared" si="2"/>
        <v>0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3"/>
      <c r="B323" s="175" t="str">
        <f t="shared" si="55"/>
        <v/>
      </c>
      <c r="C323" s="176" t="str">
        <f t="shared" si="51"/>
        <v/>
      </c>
      <c r="D323" s="175">
        <f t="shared" si="26"/>
        <v>12</v>
      </c>
      <c r="E323" s="177"/>
      <c r="F323" s="177" t="str">
        <f>IFERROR(VLOOKUP(E323,Bar!$B:$C,2,0),"")</f>
        <v/>
      </c>
      <c r="G323" s="175"/>
      <c r="H323" s="175">
        <f>IFERROR(IFERROR(VLOOKUP(E323,Bar!$B:$D,3,0),"")*G323,"")</f>
        <v>0</v>
      </c>
      <c r="I323" s="175">
        <f>IFERROR(IFERROR(VLOOKUP(E323,Bar!$B:$H,7,0),"")*G323,"")</f>
        <v>0</v>
      </c>
      <c r="J323" s="175">
        <f t="shared" si="2"/>
        <v>0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3"/>
      <c r="B324" s="175" t="str">
        <f t="shared" si="55"/>
        <v/>
      </c>
      <c r="C324" s="176" t="str">
        <f t="shared" si="51"/>
        <v/>
      </c>
      <c r="D324" s="175">
        <f t="shared" si="26"/>
        <v>12</v>
      </c>
      <c r="E324" s="177"/>
      <c r="F324" s="177" t="str">
        <f>IFERROR(VLOOKUP(E324,Bar!$B:$C,2,0),"")</f>
        <v/>
      </c>
      <c r="G324" s="175"/>
      <c r="H324" s="175">
        <f>IFERROR(IFERROR(VLOOKUP(E324,Bar!$B:$D,3,0),"")*G324,"")</f>
        <v>0</v>
      </c>
      <c r="I324" s="175">
        <f>IFERROR(IFERROR(VLOOKUP(E324,Bar!$B:$H,7,0),"")*G324,"")</f>
        <v>0</v>
      </c>
      <c r="J324" s="175">
        <f t="shared" si="2"/>
        <v>0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3"/>
      <c r="B325" s="175" t="str">
        <f t="shared" si="55"/>
        <v/>
      </c>
      <c r="C325" s="176" t="str">
        <f t="shared" si="51"/>
        <v/>
      </c>
      <c r="D325" s="175">
        <f t="shared" si="26"/>
        <v>12</v>
      </c>
      <c r="E325" s="177"/>
      <c r="F325" s="177" t="str">
        <f>IFERROR(VLOOKUP(E325,Bar!$B:$C,2,0),"")</f>
        <v/>
      </c>
      <c r="G325" s="175"/>
      <c r="H325" s="175">
        <f>IFERROR(IFERROR(VLOOKUP(E325,Bar!$B:$D,3,0),"")*G325,"")</f>
        <v>0</v>
      </c>
      <c r="I325" s="175">
        <f>IFERROR(IFERROR(VLOOKUP(E325,Bar!$B:$H,7,0),"")*G325,"")</f>
        <v>0</v>
      </c>
      <c r="J325" s="175">
        <f t="shared" si="2"/>
        <v>0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3"/>
      <c r="B326" s="175" t="str">
        <f t="shared" si="55"/>
        <v/>
      </c>
      <c r="C326" s="176" t="str">
        <f t="shared" si="51"/>
        <v/>
      </c>
      <c r="D326" s="175">
        <f t="shared" si="26"/>
        <v>12</v>
      </c>
      <c r="E326" s="177"/>
      <c r="F326" s="177" t="str">
        <f>IFERROR(VLOOKUP(E326,Bar!$B:$C,2,0),"")</f>
        <v/>
      </c>
      <c r="G326" s="175"/>
      <c r="H326" s="175">
        <f>IFERROR(IFERROR(VLOOKUP(E326,Bar!$B:$D,3,0),"")*G326,"")</f>
        <v>0</v>
      </c>
      <c r="I326" s="175">
        <f>IFERROR(IFERROR(VLOOKUP(E326,Bar!$B:$H,7,0),"")*G326,"")</f>
        <v>0</v>
      </c>
      <c r="J326" s="175">
        <f t="shared" si="2"/>
        <v>0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3"/>
      <c r="B327" s="175" t="str">
        <f t="shared" si="55"/>
        <v/>
      </c>
      <c r="C327" s="176" t="str">
        <f t="shared" si="51"/>
        <v/>
      </c>
      <c r="D327" s="175">
        <f t="shared" si="26"/>
        <v>12</v>
      </c>
      <c r="E327" s="177"/>
      <c r="F327" s="177" t="str">
        <f>IFERROR(VLOOKUP(E327,Bar!$B:$C,2,0),"")</f>
        <v/>
      </c>
      <c r="G327" s="175"/>
      <c r="H327" s="175">
        <f>IFERROR(IFERROR(VLOOKUP(E327,Bar!$B:$D,3,0),"")*G327,"")</f>
        <v>0</v>
      </c>
      <c r="I327" s="175">
        <f>IFERROR(IFERROR(VLOOKUP(E327,Bar!$B:$H,7,0),"")*G327,"")</f>
        <v>0</v>
      </c>
      <c r="J327" s="175">
        <f t="shared" si="2"/>
        <v>0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3"/>
      <c r="B328" s="175" t="str">
        <f t="shared" si="55"/>
        <v/>
      </c>
      <c r="C328" s="176" t="str">
        <f t="shared" si="51"/>
        <v/>
      </c>
      <c r="D328" s="175">
        <f t="shared" si="26"/>
        <v>12</v>
      </c>
      <c r="E328" s="177"/>
      <c r="F328" s="177" t="str">
        <f>IFERROR(VLOOKUP(E328,Bar!$B:$C,2,0),"")</f>
        <v/>
      </c>
      <c r="G328" s="175"/>
      <c r="H328" s="175">
        <f>IFERROR(IFERROR(VLOOKUP(E328,Bar!$B:$D,3,0),"")*G328,"")</f>
        <v>0</v>
      </c>
      <c r="I328" s="175">
        <f>IFERROR(IFERROR(VLOOKUP(E328,Bar!$B:$H,7,0),"")*G328,"")</f>
        <v>0</v>
      </c>
      <c r="J328" s="175">
        <f t="shared" si="2"/>
        <v>0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3"/>
      <c r="B329" s="175" t="str">
        <f t="shared" si="55"/>
        <v/>
      </c>
      <c r="C329" s="176" t="str">
        <f t="shared" si="51"/>
        <v/>
      </c>
      <c r="D329" s="175">
        <f t="shared" si="26"/>
        <v>12</v>
      </c>
      <c r="E329" s="177"/>
      <c r="F329" s="177" t="str">
        <f>IFERROR(VLOOKUP(E329,Bar!$B:$C,2,0),"")</f>
        <v/>
      </c>
      <c r="G329" s="175"/>
      <c r="H329" s="175">
        <f>IFERROR(IFERROR(VLOOKUP(E329,Bar!$B:$D,3,0),"")*G329,"")</f>
        <v>0</v>
      </c>
      <c r="I329" s="175">
        <f>IFERROR(IFERROR(VLOOKUP(E329,Bar!$B:$H,7,0),"")*G329,"")</f>
        <v>0</v>
      </c>
      <c r="J329" s="175">
        <f t="shared" si="2"/>
        <v>0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3"/>
      <c r="B330" s="175" t="str">
        <f t="shared" si="55"/>
        <v/>
      </c>
      <c r="C330" s="176" t="str">
        <f t="shared" si="51"/>
        <v/>
      </c>
      <c r="D330" s="175">
        <f t="shared" si="26"/>
        <v>12</v>
      </c>
      <c r="E330" s="177"/>
      <c r="F330" s="177" t="str">
        <f>IFERROR(VLOOKUP(E330,Bar!$B:$C,2,0),"")</f>
        <v/>
      </c>
      <c r="G330" s="175"/>
      <c r="H330" s="175">
        <f>IFERROR(IFERROR(VLOOKUP(E330,Bar!$B:$D,3,0),"")*G330,"")</f>
        <v>0</v>
      </c>
      <c r="I330" s="175">
        <f>IFERROR(IFERROR(VLOOKUP(E330,Bar!$B:$H,7,0),"")*G330,"")</f>
        <v>0</v>
      </c>
      <c r="J330" s="175">
        <f t="shared" si="2"/>
        <v>0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3"/>
      <c r="B331" s="175" t="str">
        <f t="shared" si="55"/>
        <v/>
      </c>
      <c r="C331" s="176" t="str">
        <f t="shared" si="51"/>
        <v/>
      </c>
      <c r="D331" s="175">
        <f t="shared" si="26"/>
        <v>12</v>
      </c>
      <c r="E331" s="177"/>
      <c r="F331" s="177" t="str">
        <f>IFERROR(VLOOKUP(E331,Bar!$B:$C,2,0),"")</f>
        <v/>
      </c>
      <c r="G331" s="175"/>
      <c r="H331" s="175">
        <f>IFERROR(IFERROR(VLOOKUP(E331,Bar!$B:$D,3,0),"")*G331,"")</f>
        <v>0</v>
      </c>
      <c r="I331" s="175">
        <f>IFERROR(IFERROR(VLOOKUP(E331,Bar!$B:$H,7,0),"")*G331,"")</f>
        <v>0</v>
      </c>
      <c r="J331" s="175">
        <f t="shared" si="2"/>
        <v>0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3"/>
      <c r="B332" s="175" t="str">
        <f t="shared" si="55"/>
        <v/>
      </c>
      <c r="C332" s="176" t="str">
        <f t="shared" si="51"/>
        <v/>
      </c>
      <c r="D332" s="175">
        <f t="shared" si="26"/>
        <v>12</v>
      </c>
      <c r="E332" s="177"/>
      <c r="F332" s="177" t="str">
        <f>IFERROR(VLOOKUP(E332,Bar!$B:$C,2,0),"")</f>
        <v/>
      </c>
      <c r="G332" s="175"/>
      <c r="H332" s="175">
        <f>IFERROR(IFERROR(VLOOKUP(E332,Bar!$B:$D,3,0),"")*G332,"")</f>
        <v>0</v>
      </c>
      <c r="I332" s="175">
        <f>IFERROR(IFERROR(VLOOKUP(E332,Bar!$B:$H,7,0),"")*G332,"")</f>
        <v>0</v>
      </c>
      <c r="J332" s="175">
        <f t="shared" si="2"/>
        <v>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3"/>
      <c r="B333" s="175" t="str">
        <f>IF(E333="","",B179+1)</f>
        <v/>
      </c>
      <c r="C333" s="176" t="str">
        <f t="shared" si="51"/>
        <v/>
      </c>
      <c r="D333" s="175">
        <f t="shared" si="26"/>
        <v>12</v>
      </c>
      <c r="E333" s="177"/>
      <c r="F333" s="177" t="str">
        <f>IFERROR(VLOOKUP(E333,Bar!$B:$C,2,0),"")</f>
        <v/>
      </c>
      <c r="G333" s="175"/>
      <c r="H333" s="175">
        <f>IFERROR(IFERROR(VLOOKUP(E333,Bar!$B:$D,3,0),"")*G333,"")</f>
        <v>0</v>
      </c>
      <c r="I333" s="175">
        <f>IFERROR(IFERROR(VLOOKUP(E333,Bar!$B:$H,7,0),"")*G333,"")</f>
        <v>0</v>
      </c>
      <c r="J333" s="175">
        <f t="shared" si="2"/>
        <v>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3"/>
      <c r="B334" s="175" t="str">
        <f t="shared" ref="B334:B349" si="56">IF(E334="","",B333+1)</f>
        <v/>
      </c>
      <c r="C334" s="176" t="str">
        <f t="shared" si="51"/>
        <v/>
      </c>
      <c r="D334" s="175">
        <f t="shared" si="26"/>
        <v>12</v>
      </c>
      <c r="E334" s="177"/>
      <c r="F334" s="177" t="str">
        <f>IFERROR(VLOOKUP(E334,Bar!$B:$C,2,0),"")</f>
        <v/>
      </c>
      <c r="G334" s="175"/>
      <c r="H334" s="175">
        <f>IFERROR(IFERROR(VLOOKUP(E334,Bar!$B:$D,3,0),"")*G334,"")</f>
        <v>0</v>
      </c>
      <c r="I334" s="175">
        <f>IFERROR(IFERROR(VLOOKUP(E334,Bar!$B:$H,7,0),"")*G334,"")</f>
        <v>0</v>
      </c>
      <c r="J334" s="175">
        <f t="shared" si="2"/>
        <v>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3"/>
      <c r="B335" s="175" t="str">
        <f t="shared" si="56"/>
        <v/>
      </c>
      <c r="C335" s="176" t="str">
        <f t="shared" si="51"/>
        <v/>
      </c>
      <c r="D335" s="175">
        <f t="shared" si="26"/>
        <v>12</v>
      </c>
      <c r="E335" s="177"/>
      <c r="F335" s="177" t="str">
        <f>IFERROR(VLOOKUP(E335,Bar!$B:$C,2,0),"")</f>
        <v/>
      </c>
      <c r="G335" s="175"/>
      <c r="H335" s="175">
        <f>IFERROR(IFERROR(VLOOKUP(E335,Bar!$B:$D,3,0),"")*G335,"")</f>
        <v>0</v>
      </c>
      <c r="I335" s="175">
        <f>IFERROR(IFERROR(VLOOKUP(E335,Bar!$B:$H,7,0),"")*G335,"")</f>
        <v>0</v>
      </c>
      <c r="J335" s="175">
        <f t="shared" si="2"/>
        <v>0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3"/>
      <c r="B336" s="175" t="str">
        <f t="shared" si="56"/>
        <v/>
      </c>
      <c r="C336" s="176" t="str">
        <f t="shared" si="51"/>
        <v/>
      </c>
      <c r="D336" s="175">
        <f t="shared" si="26"/>
        <v>12</v>
      </c>
      <c r="E336" s="177"/>
      <c r="F336" s="177" t="str">
        <f>IFERROR(VLOOKUP(E336,Bar!$B:$C,2,0),"")</f>
        <v/>
      </c>
      <c r="G336" s="175"/>
      <c r="H336" s="175">
        <f>IFERROR(IFERROR(VLOOKUP(E336,Bar!$B:$D,3,0),"")*G336,"")</f>
        <v>0</v>
      </c>
      <c r="I336" s="175">
        <f>IFERROR(IFERROR(VLOOKUP(E336,Bar!$B:$H,7,0),"")*G336,"")</f>
        <v>0</v>
      </c>
      <c r="J336" s="175">
        <f t="shared" si="2"/>
        <v>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3"/>
      <c r="B337" s="175" t="str">
        <f t="shared" si="56"/>
        <v/>
      </c>
      <c r="C337" s="176" t="str">
        <f t="shared" si="51"/>
        <v/>
      </c>
      <c r="D337" s="175">
        <f t="shared" si="26"/>
        <v>12</v>
      </c>
      <c r="E337" s="177"/>
      <c r="F337" s="177" t="str">
        <f>IFERROR(VLOOKUP(E337,Bar!$B:$C,2,0),"")</f>
        <v/>
      </c>
      <c r="G337" s="175"/>
      <c r="H337" s="175">
        <f>IFERROR(IFERROR(VLOOKUP(E337,Bar!$B:$D,3,0),"")*G337,"")</f>
        <v>0</v>
      </c>
      <c r="I337" s="175">
        <f>IFERROR(IFERROR(VLOOKUP(E337,Bar!$B:$H,7,0),"")*G337,"")</f>
        <v>0</v>
      </c>
      <c r="J337" s="175">
        <f t="shared" si="2"/>
        <v>0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3"/>
      <c r="B338" s="175" t="str">
        <f t="shared" si="56"/>
        <v/>
      </c>
      <c r="C338" s="176" t="str">
        <f t="shared" si="51"/>
        <v/>
      </c>
      <c r="D338" s="175">
        <f t="shared" si="26"/>
        <v>12</v>
      </c>
      <c r="E338" s="177"/>
      <c r="F338" s="177" t="str">
        <f>IFERROR(VLOOKUP(E338,Bar!$B:$C,2,0),"")</f>
        <v/>
      </c>
      <c r="G338" s="175"/>
      <c r="H338" s="175">
        <f>IFERROR(IFERROR(VLOOKUP(E338,Bar!$B:$D,3,0),"")*G338,"")</f>
        <v>0</v>
      </c>
      <c r="I338" s="175">
        <f>IFERROR(IFERROR(VLOOKUP(E338,Bar!$B:$H,7,0),"")*G338,"")</f>
        <v>0</v>
      </c>
      <c r="J338" s="175">
        <f t="shared" si="2"/>
        <v>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3"/>
      <c r="B339" s="175" t="str">
        <f t="shared" si="56"/>
        <v/>
      </c>
      <c r="C339" s="176" t="str">
        <f t="shared" si="51"/>
        <v/>
      </c>
      <c r="D339" s="175">
        <f t="shared" si="26"/>
        <v>12</v>
      </c>
      <c r="E339" s="177"/>
      <c r="F339" s="177" t="str">
        <f>IFERROR(VLOOKUP(E339,Bar!$B:$C,2,0),"")</f>
        <v/>
      </c>
      <c r="G339" s="175"/>
      <c r="H339" s="175">
        <f>IFERROR(IFERROR(VLOOKUP(E339,Bar!$B:$D,3,0),"")*G339,"")</f>
        <v>0</v>
      </c>
      <c r="I339" s="175">
        <f>IFERROR(IFERROR(VLOOKUP(E339,Bar!$B:$H,7,0),"")*G339,"")</f>
        <v>0</v>
      </c>
      <c r="J339" s="175">
        <f t="shared" si="2"/>
        <v>0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3"/>
      <c r="B340" s="175" t="str">
        <f t="shared" si="56"/>
        <v/>
      </c>
      <c r="C340" s="176" t="str">
        <f t="shared" si="51"/>
        <v/>
      </c>
      <c r="D340" s="175">
        <f t="shared" si="26"/>
        <v>12</v>
      </c>
      <c r="E340" s="177"/>
      <c r="F340" s="177" t="str">
        <f>IFERROR(VLOOKUP(E340,Bar!$B:$C,2,0),"")</f>
        <v/>
      </c>
      <c r="G340" s="175"/>
      <c r="H340" s="175">
        <f>IFERROR(IFERROR(VLOOKUP(E340,Bar!$B:$D,3,0),"")*G340,"")</f>
        <v>0</v>
      </c>
      <c r="I340" s="175">
        <f>IFERROR(IFERROR(VLOOKUP(E340,Bar!$B:$H,7,0),"")*G340,"")</f>
        <v>0</v>
      </c>
      <c r="J340" s="175">
        <f t="shared" si="2"/>
        <v>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3"/>
      <c r="B341" s="175" t="str">
        <f t="shared" si="56"/>
        <v/>
      </c>
      <c r="C341" s="176" t="str">
        <f t="shared" si="51"/>
        <v/>
      </c>
      <c r="D341" s="175">
        <f t="shared" si="26"/>
        <v>12</v>
      </c>
      <c r="E341" s="177"/>
      <c r="F341" s="177" t="str">
        <f>IFERROR(VLOOKUP(E341,Bar!$B:$C,2,0),"")</f>
        <v/>
      </c>
      <c r="G341" s="175"/>
      <c r="H341" s="175">
        <f>IFERROR(IFERROR(VLOOKUP(E341,Bar!$B:$D,3,0),"")*G341,"")</f>
        <v>0</v>
      </c>
      <c r="I341" s="175">
        <f>IFERROR(IFERROR(VLOOKUP(E341,Bar!$B:$H,7,0),"")*G341,"")</f>
        <v>0</v>
      </c>
      <c r="J341" s="175">
        <f t="shared" si="2"/>
        <v>0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3"/>
      <c r="B342" s="175" t="str">
        <f t="shared" si="56"/>
        <v/>
      </c>
      <c r="C342" s="176" t="str">
        <f t="shared" si="51"/>
        <v/>
      </c>
      <c r="D342" s="175">
        <f t="shared" si="26"/>
        <v>12</v>
      </c>
      <c r="E342" s="177"/>
      <c r="F342" s="177" t="str">
        <f>IFERROR(VLOOKUP(E342,Bar!$B:$C,2,0),"")</f>
        <v/>
      </c>
      <c r="G342" s="175"/>
      <c r="H342" s="175">
        <f>IFERROR(IFERROR(VLOOKUP(E342,Bar!$B:$D,3,0),"")*G342,"")</f>
        <v>0</v>
      </c>
      <c r="I342" s="175">
        <f>IFERROR(IFERROR(VLOOKUP(E342,Bar!$B:$H,7,0),"")*G342,"")</f>
        <v>0</v>
      </c>
      <c r="J342" s="175">
        <f t="shared" si="2"/>
        <v>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3"/>
      <c r="B343" s="175" t="str">
        <f t="shared" si="56"/>
        <v/>
      </c>
      <c r="C343" s="176" t="str">
        <f t="shared" si="51"/>
        <v/>
      </c>
      <c r="D343" s="175">
        <f t="shared" si="26"/>
        <v>12</v>
      </c>
      <c r="E343" s="177"/>
      <c r="F343" s="177" t="str">
        <f>IFERROR(VLOOKUP(E343,Bar!$B:$C,2,0),"")</f>
        <v/>
      </c>
      <c r="G343" s="175"/>
      <c r="H343" s="175">
        <f>IFERROR(IFERROR(VLOOKUP(E343,Bar!$B:$D,3,0),"")*G343,"")</f>
        <v>0</v>
      </c>
      <c r="I343" s="175">
        <f>IFERROR(IFERROR(VLOOKUP(E343,Bar!$B:$H,7,0),"")*G343,"")</f>
        <v>0</v>
      </c>
      <c r="J343" s="175">
        <f t="shared" si="2"/>
        <v>0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3"/>
      <c r="B344" s="175" t="str">
        <f t="shared" si="56"/>
        <v/>
      </c>
      <c r="C344" s="176" t="str">
        <f t="shared" si="51"/>
        <v/>
      </c>
      <c r="D344" s="175">
        <f t="shared" si="26"/>
        <v>12</v>
      </c>
      <c r="E344" s="177"/>
      <c r="F344" s="177" t="str">
        <f>IFERROR(VLOOKUP(E344,Bar!$B:$C,2,0),"")</f>
        <v/>
      </c>
      <c r="G344" s="175"/>
      <c r="H344" s="175">
        <f>IFERROR(IFERROR(VLOOKUP(E344,Bar!$B:$D,3,0),"")*G344,"")</f>
        <v>0</v>
      </c>
      <c r="I344" s="175">
        <f>IFERROR(IFERROR(VLOOKUP(E344,Bar!$B:$H,7,0),"")*G344,"")</f>
        <v>0</v>
      </c>
      <c r="J344" s="175">
        <f t="shared" si="2"/>
        <v>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3"/>
      <c r="B345" s="175" t="str">
        <f t="shared" si="56"/>
        <v/>
      </c>
      <c r="C345" s="176" t="str">
        <f t="shared" si="51"/>
        <v/>
      </c>
      <c r="D345" s="175">
        <f t="shared" si="26"/>
        <v>12</v>
      </c>
      <c r="E345" s="177"/>
      <c r="F345" s="177" t="str">
        <f>IFERROR(VLOOKUP(E345,Bar!$B:$C,2,0),"")</f>
        <v/>
      </c>
      <c r="G345" s="175"/>
      <c r="H345" s="175">
        <f>IFERROR(IFERROR(VLOOKUP(E345,Bar!$B:$D,3,0),"")*G345,"")</f>
        <v>0</v>
      </c>
      <c r="I345" s="175">
        <f>IFERROR(IFERROR(VLOOKUP(E345,Bar!$B:$H,7,0),"")*G345,"")</f>
        <v>0</v>
      </c>
      <c r="J345" s="175">
        <f t="shared" si="2"/>
        <v>0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3"/>
      <c r="B346" s="175" t="str">
        <f t="shared" si="56"/>
        <v/>
      </c>
      <c r="C346" s="176" t="str">
        <f t="shared" si="51"/>
        <v/>
      </c>
      <c r="D346" s="175">
        <f t="shared" si="26"/>
        <v>12</v>
      </c>
      <c r="E346" s="177"/>
      <c r="F346" s="177" t="str">
        <f>IFERROR(VLOOKUP(E346,Bar!$B:$C,2,0),"")</f>
        <v/>
      </c>
      <c r="G346" s="175"/>
      <c r="H346" s="175">
        <f>IFERROR(IFERROR(VLOOKUP(E346,Bar!$B:$D,3,0),"")*G346,"")</f>
        <v>0</v>
      </c>
      <c r="I346" s="175">
        <f>IFERROR(IFERROR(VLOOKUP(E346,Bar!$B:$H,7,0),"")*G346,"")</f>
        <v>0</v>
      </c>
      <c r="J346" s="175">
        <f t="shared" si="2"/>
        <v>0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3"/>
      <c r="B347" s="175" t="str">
        <f t="shared" si="56"/>
        <v/>
      </c>
      <c r="C347" s="176" t="str">
        <f t="shared" si="51"/>
        <v/>
      </c>
      <c r="D347" s="175">
        <f t="shared" si="26"/>
        <v>12</v>
      </c>
      <c r="E347" s="177"/>
      <c r="F347" s="177" t="str">
        <f>IFERROR(VLOOKUP(E347,Bar!$B:$C,2,0),"")</f>
        <v/>
      </c>
      <c r="G347" s="175"/>
      <c r="H347" s="175">
        <f>IFERROR(IFERROR(VLOOKUP(E347,Bar!$B:$D,3,0),"")*G347,"")</f>
        <v>0</v>
      </c>
      <c r="I347" s="175">
        <f>IFERROR(IFERROR(VLOOKUP(E347,Bar!$B:$H,7,0),"")*G347,"")</f>
        <v>0</v>
      </c>
      <c r="J347" s="175">
        <f t="shared" si="2"/>
        <v>0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3"/>
      <c r="B348" s="175" t="str">
        <f t="shared" si="56"/>
        <v/>
      </c>
      <c r="C348" s="176" t="str">
        <f t="shared" si="51"/>
        <v/>
      </c>
      <c r="D348" s="175">
        <f t="shared" si="26"/>
        <v>12</v>
      </c>
      <c r="E348" s="177"/>
      <c r="F348" s="177" t="str">
        <f>IFERROR(VLOOKUP(E348,Bar!$B:$C,2,0),"")</f>
        <v/>
      </c>
      <c r="G348" s="175"/>
      <c r="H348" s="175">
        <f>IFERROR(IFERROR(VLOOKUP(E348,Bar!$B:$D,3,0),"")*G348,"")</f>
        <v>0</v>
      </c>
      <c r="I348" s="175">
        <f>IFERROR(IFERROR(VLOOKUP(E348,Bar!$B:$H,7,0),"")*G348,"")</f>
        <v>0</v>
      </c>
      <c r="J348" s="175">
        <f t="shared" si="2"/>
        <v>0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3"/>
      <c r="B349" s="175" t="str">
        <f t="shared" si="56"/>
        <v/>
      </c>
      <c r="C349" s="176" t="str">
        <f t="shared" si="51"/>
        <v/>
      </c>
      <c r="D349" s="175">
        <f t="shared" si="26"/>
        <v>12</v>
      </c>
      <c r="E349" s="177"/>
      <c r="F349" s="177" t="str">
        <f>IFERROR(VLOOKUP(E349,Bar!$B:$C,2,0),"")</f>
        <v/>
      </c>
      <c r="G349" s="175"/>
      <c r="H349" s="175">
        <f>IFERROR(IFERROR(VLOOKUP(E349,Bar!$B:$D,3,0),"")*G349,"")</f>
        <v>0</v>
      </c>
      <c r="I349" s="175">
        <f>IFERROR(IFERROR(VLOOKUP(E349,Bar!$B:$H,7,0),"")*G349,"")</f>
        <v>0</v>
      </c>
      <c r="J349" s="175">
        <f t="shared" si="2"/>
        <v>0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3"/>
      <c r="B350" s="175" t="str">
        <f>IF(E350="","",B196+1)</f>
        <v/>
      </c>
      <c r="C350" s="176" t="str">
        <f t="shared" si="51"/>
        <v/>
      </c>
      <c r="D350" s="175">
        <f t="shared" si="26"/>
        <v>12</v>
      </c>
      <c r="E350" s="177"/>
      <c r="F350" s="177" t="str">
        <f>IFERROR(VLOOKUP(E350,Bar!$B:$C,2,0),"")</f>
        <v/>
      </c>
      <c r="G350" s="175"/>
      <c r="H350" s="175">
        <f>IFERROR(IFERROR(VLOOKUP(E350,Bar!$B:$D,3,0),"")*G350,"")</f>
        <v>0</v>
      </c>
      <c r="I350" s="175">
        <f>IFERROR(IFERROR(VLOOKUP(E350,Bar!$B:$H,7,0),"")*G350,"")</f>
        <v>0</v>
      </c>
      <c r="J350" s="175">
        <f t="shared" si="2"/>
        <v>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3"/>
      <c r="B351" s="175" t="str">
        <f t="shared" ref="B351:B366" si="57">IF(E351="","",B350+1)</f>
        <v/>
      </c>
      <c r="C351" s="176" t="str">
        <f t="shared" si="51"/>
        <v/>
      </c>
      <c r="D351" s="175">
        <f t="shared" si="26"/>
        <v>12</v>
      </c>
      <c r="E351" s="177"/>
      <c r="F351" s="177" t="str">
        <f>IFERROR(VLOOKUP(E351,Bar!$B:$C,2,0),"")</f>
        <v/>
      </c>
      <c r="G351" s="175"/>
      <c r="H351" s="175">
        <f>IFERROR(IFERROR(VLOOKUP(E351,Bar!$B:$D,3,0),"")*G351,"")</f>
        <v>0</v>
      </c>
      <c r="I351" s="175">
        <f>IFERROR(IFERROR(VLOOKUP(E351,Bar!$B:$H,7,0),"")*G351,"")</f>
        <v>0</v>
      </c>
      <c r="J351" s="175">
        <f t="shared" si="2"/>
        <v>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3"/>
      <c r="B352" s="175" t="str">
        <f t="shared" si="57"/>
        <v/>
      </c>
      <c r="C352" s="176" t="str">
        <f t="shared" si="51"/>
        <v/>
      </c>
      <c r="D352" s="175">
        <f t="shared" si="26"/>
        <v>12</v>
      </c>
      <c r="E352" s="177"/>
      <c r="F352" s="177" t="str">
        <f>IFERROR(VLOOKUP(E352,Bar!$B:$C,2,0),"")</f>
        <v/>
      </c>
      <c r="G352" s="175"/>
      <c r="H352" s="175">
        <f>IFERROR(IFERROR(VLOOKUP(E352,Bar!$B:$D,3,0),"")*G352,"")</f>
        <v>0</v>
      </c>
      <c r="I352" s="175">
        <f>IFERROR(IFERROR(VLOOKUP(E352,Bar!$B:$H,7,0),"")*G352,"")</f>
        <v>0</v>
      </c>
      <c r="J352" s="175">
        <f t="shared" si="2"/>
        <v>0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3"/>
      <c r="B353" s="175" t="str">
        <f t="shared" si="57"/>
        <v/>
      </c>
      <c r="C353" s="176" t="str">
        <f t="shared" si="51"/>
        <v/>
      </c>
      <c r="D353" s="175">
        <f t="shared" si="26"/>
        <v>12</v>
      </c>
      <c r="E353" s="177"/>
      <c r="F353" s="177" t="str">
        <f>IFERROR(VLOOKUP(E353,Bar!$B:$C,2,0),"")</f>
        <v/>
      </c>
      <c r="G353" s="175"/>
      <c r="H353" s="175">
        <f>IFERROR(IFERROR(VLOOKUP(E353,Bar!$B:$D,3,0),"")*G353,"")</f>
        <v>0</v>
      </c>
      <c r="I353" s="175">
        <f>IFERROR(IFERROR(VLOOKUP(E353,Bar!$B:$H,7,0),"")*G353,"")</f>
        <v>0</v>
      </c>
      <c r="J353" s="175">
        <f t="shared" si="2"/>
        <v>0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3"/>
      <c r="B354" s="175" t="str">
        <f t="shared" si="57"/>
        <v/>
      </c>
      <c r="C354" s="176" t="str">
        <f t="shared" si="51"/>
        <v/>
      </c>
      <c r="D354" s="175">
        <f t="shared" si="26"/>
        <v>12</v>
      </c>
      <c r="E354" s="177"/>
      <c r="F354" s="177" t="str">
        <f>IFERROR(VLOOKUP(E354,Bar!$B:$C,2,0),"")</f>
        <v/>
      </c>
      <c r="G354" s="175"/>
      <c r="H354" s="175">
        <f>IFERROR(IFERROR(VLOOKUP(E354,Bar!$B:$D,3,0),"")*G354,"")</f>
        <v>0</v>
      </c>
      <c r="I354" s="175">
        <f>IFERROR(IFERROR(VLOOKUP(E354,Bar!$B:$H,7,0),"")*G354,"")</f>
        <v>0</v>
      </c>
      <c r="J354" s="175">
        <f t="shared" si="2"/>
        <v>0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3"/>
      <c r="B355" s="175" t="str">
        <f t="shared" si="57"/>
        <v/>
      </c>
      <c r="C355" s="176" t="str">
        <f t="shared" si="51"/>
        <v/>
      </c>
      <c r="D355" s="175">
        <f t="shared" si="26"/>
        <v>12</v>
      </c>
      <c r="E355" s="177"/>
      <c r="F355" s="177" t="str">
        <f>IFERROR(VLOOKUP(E355,Bar!$B:$C,2,0),"")</f>
        <v/>
      </c>
      <c r="G355" s="175"/>
      <c r="H355" s="175">
        <f>IFERROR(IFERROR(VLOOKUP(E355,Bar!$B:$D,3,0),"")*G355,"")</f>
        <v>0</v>
      </c>
      <c r="I355" s="175">
        <f>IFERROR(IFERROR(VLOOKUP(E355,Bar!$B:$H,7,0),"")*G355,"")</f>
        <v>0</v>
      </c>
      <c r="J355" s="175">
        <f t="shared" si="2"/>
        <v>0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3"/>
      <c r="B356" s="175" t="str">
        <f t="shared" si="57"/>
        <v/>
      </c>
      <c r="C356" s="176" t="str">
        <f t="shared" si="51"/>
        <v/>
      </c>
      <c r="D356" s="175">
        <f t="shared" si="26"/>
        <v>12</v>
      </c>
      <c r="E356" s="177"/>
      <c r="F356" s="177" t="str">
        <f>IFERROR(VLOOKUP(E356,Bar!$B:$C,2,0),"")</f>
        <v/>
      </c>
      <c r="G356" s="175"/>
      <c r="H356" s="175">
        <f>IFERROR(IFERROR(VLOOKUP(E356,Bar!$B:$D,3,0),"")*G356,"")</f>
        <v>0</v>
      </c>
      <c r="I356" s="175">
        <f>IFERROR(IFERROR(VLOOKUP(E356,Bar!$B:$H,7,0),"")*G356,"")</f>
        <v>0</v>
      </c>
      <c r="J356" s="175">
        <f t="shared" si="2"/>
        <v>0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3"/>
      <c r="B357" s="175" t="str">
        <f t="shared" si="57"/>
        <v/>
      </c>
      <c r="C357" s="176" t="str">
        <f t="shared" si="51"/>
        <v/>
      </c>
      <c r="D357" s="175">
        <f t="shared" si="26"/>
        <v>12</v>
      </c>
      <c r="E357" s="177"/>
      <c r="F357" s="177" t="str">
        <f>IFERROR(VLOOKUP(E357,Bar!$B:$C,2,0),"")</f>
        <v/>
      </c>
      <c r="G357" s="175"/>
      <c r="H357" s="175">
        <f>IFERROR(IFERROR(VLOOKUP(E357,Bar!$B:$D,3,0),"")*G357,"")</f>
        <v>0</v>
      </c>
      <c r="I357" s="175">
        <f>IFERROR(IFERROR(VLOOKUP(E357,Bar!$B:$H,7,0),"")*G357,"")</f>
        <v>0</v>
      </c>
      <c r="J357" s="175">
        <f t="shared" si="2"/>
        <v>0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3"/>
      <c r="B358" s="175" t="str">
        <f t="shared" si="57"/>
        <v/>
      </c>
      <c r="C358" s="176" t="str">
        <f t="shared" si="51"/>
        <v/>
      </c>
      <c r="D358" s="175">
        <f t="shared" si="26"/>
        <v>12</v>
      </c>
      <c r="E358" s="177"/>
      <c r="F358" s="177" t="str">
        <f>IFERROR(VLOOKUP(E358,Bar!$B:$C,2,0),"")</f>
        <v/>
      </c>
      <c r="G358" s="175"/>
      <c r="H358" s="175">
        <f>IFERROR(IFERROR(VLOOKUP(E358,Bar!$B:$D,3,0),"")*G358,"")</f>
        <v>0</v>
      </c>
      <c r="I358" s="175">
        <f>IFERROR(IFERROR(VLOOKUP(E358,Bar!$B:$H,7,0),"")*G358,"")</f>
        <v>0</v>
      </c>
      <c r="J358" s="175">
        <f t="shared" si="2"/>
        <v>0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3"/>
      <c r="B359" s="175" t="str">
        <f t="shared" si="57"/>
        <v/>
      </c>
      <c r="C359" s="176" t="str">
        <f t="shared" si="51"/>
        <v/>
      </c>
      <c r="D359" s="175">
        <f t="shared" si="26"/>
        <v>12</v>
      </c>
      <c r="E359" s="177"/>
      <c r="F359" s="177" t="str">
        <f>IFERROR(VLOOKUP(E359,Bar!$B:$C,2,0),"")</f>
        <v/>
      </c>
      <c r="G359" s="175"/>
      <c r="H359" s="175">
        <f>IFERROR(IFERROR(VLOOKUP(E359,Bar!$B:$D,3,0),"")*G359,"")</f>
        <v>0</v>
      </c>
      <c r="I359" s="175">
        <f>IFERROR(IFERROR(VLOOKUP(E359,Bar!$B:$H,7,0),"")*G359,"")</f>
        <v>0</v>
      </c>
      <c r="J359" s="175">
        <f t="shared" si="2"/>
        <v>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3"/>
      <c r="B360" s="175" t="str">
        <f t="shared" si="57"/>
        <v/>
      </c>
      <c r="C360" s="176" t="str">
        <f t="shared" si="51"/>
        <v/>
      </c>
      <c r="D360" s="175">
        <f t="shared" si="26"/>
        <v>12</v>
      </c>
      <c r="E360" s="177"/>
      <c r="F360" s="177" t="str">
        <f>IFERROR(VLOOKUP(E360,Bar!$B:$C,2,0),"")</f>
        <v/>
      </c>
      <c r="G360" s="175"/>
      <c r="H360" s="175">
        <f>IFERROR(IFERROR(VLOOKUP(E360,Bar!$B:$D,3,0),"")*G360,"")</f>
        <v>0</v>
      </c>
      <c r="I360" s="175">
        <f>IFERROR(IFERROR(VLOOKUP(E360,Bar!$B:$H,7,0),"")*G360,"")</f>
        <v>0</v>
      </c>
      <c r="J360" s="175">
        <f t="shared" si="2"/>
        <v>0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3"/>
      <c r="B361" s="175" t="str">
        <f t="shared" si="57"/>
        <v/>
      </c>
      <c r="C361" s="176" t="str">
        <f t="shared" si="51"/>
        <v/>
      </c>
      <c r="D361" s="175">
        <f t="shared" si="26"/>
        <v>12</v>
      </c>
      <c r="E361" s="177"/>
      <c r="F361" s="177" t="str">
        <f>IFERROR(VLOOKUP(E361,Bar!$B:$C,2,0),"")</f>
        <v/>
      </c>
      <c r="G361" s="175"/>
      <c r="H361" s="175">
        <f>IFERROR(IFERROR(VLOOKUP(E361,Bar!$B:$D,3,0),"")*G361,"")</f>
        <v>0</v>
      </c>
      <c r="I361" s="175">
        <f>IFERROR(IFERROR(VLOOKUP(E361,Bar!$B:$H,7,0),"")*G361,"")</f>
        <v>0</v>
      </c>
      <c r="J361" s="175">
        <f t="shared" si="2"/>
        <v>0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3"/>
      <c r="B362" s="175" t="str">
        <f t="shared" si="57"/>
        <v/>
      </c>
      <c r="C362" s="176" t="str">
        <f t="shared" si="51"/>
        <v/>
      </c>
      <c r="D362" s="175">
        <f t="shared" si="26"/>
        <v>12</v>
      </c>
      <c r="E362" s="177"/>
      <c r="F362" s="177" t="str">
        <f>IFERROR(VLOOKUP(E362,Bar!$B:$C,2,0),"")</f>
        <v/>
      </c>
      <c r="G362" s="175"/>
      <c r="H362" s="175">
        <f>IFERROR(IFERROR(VLOOKUP(E362,Bar!$B:$D,3,0),"")*G362,"")</f>
        <v>0</v>
      </c>
      <c r="I362" s="175">
        <f>IFERROR(IFERROR(VLOOKUP(E362,Bar!$B:$H,7,0),"")*G362,"")</f>
        <v>0</v>
      </c>
      <c r="J362" s="175">
        <f t="shared" si="2"/>
        <v>0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3"/>
      <c r="B363" s="175" t="str">
        <f t="shared" si="57"/>
        <v/>
      </c>
      <c r="C363" s="176" t="str">
        <f t="shared" si="51"/>
        <v/>
      </c>
      <c r="D363" s="175">
        <f t="shared" si="26"/>
        <v>12</v>
      </c>
      <c r="E363" s="177"/>
      <c r="F363" s="177" t="str">
        <f>IFERROR(VLOOKUP(E363,Bar!$B:$C,2,0),"")</f>
        <v/>
      </c>
      <c r="G363" s="175"/>
      <c r="H363" s="175">
        <f>IFERROR(IFERROR(VLOOKUP(E363,Bar!$B:$D,3,0),"")*G363,"")</f>
        <v>0</v>
      </c>
      <c r="I363" s="175">
        <f>IFERROR(IFERROR(VLOOKUP(E363,Bar!$B:$H,7,0),"")*G363,"")</f>
        <v>0</v>
      </c>
      <c r="J363" s="175">
        <f t="shared" si="2"/>
        <v>0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3"/>
      <c r="B364" s="175" t="str">
        <f t="shared" si="57"/>
        <v/>
      </c>
      <c r="C364" s="176" t="str">
        <f t="shared" si="51"/>
        <v/>
      </c>
      <c r="D364" s="175">
        <f t="shared" si="26"/>
        <v>12</v>
      </c>
      <c r="E364" s="177"/>
      <c r="F364" s="177" t="str">
        <f>IFERROR(VLOOKUP(E364,Bar!$B:$C,2,0),"")</f>
        <v/>
      </c>
      <c r="G364" s="175"/>
      <c r="H364" s="175">
        <f>IFERROR(IFERROR(VLOOKUP(E364,Bar!$B:$D,3,0),"")*G364,"")</f>
        <v>0</v>
      </c>
      <c r="I364" s="175">
        <f>IFERROR(IFERROR(VLOOKUP(E364,Bar!$B:$H,7,0),"")*G364,"")</f>
        <v>0</v>
      </c>
      <c r="J364" s="175">
        <f t="shared" si="2"/>
        <v>0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3"/>
      <c r="B365" s="175" t="str">
        <f t="shared" si="57"/>
        <v/>
      </c>
      <c r="C365" s="176" t="str">
        <f t="shared" si="51"/>
        <v/>
      </c>
      <c r="D365" s="175">
        <f t="shared" si="26"/>
        <v>12</v>
      </c>
      <c r="E365" s="177"/>
      <c r="F365" s="177" t="str">
        <f>IFERROR(VLOOKUP(E365,Bar!$B:$C,2,0),"")</f>
        <v/>
      </c>
      <c r="G365" s="175"/>
      <c r="H365" s="175">
        <f>IFERROR(IFERROR(VLOOKUP(E365,Bar!$B:$D,3,0),"")*G365,"")</f>
        <v>0</v>
      </c>
      <c r="I365" s="175">
        <f>IFERROR(IFERROR(VLOOKUP(E365,Bar!$B:$H,7,0),"")*G365,"")</f>
        <v>0</v>
      </c>
      <c r="J365" s="175">
        <f t="shared" si="2"/>
        <v>0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3"/>
      <c r="B366" s="175" t="str">
        <f t="shared" si="57"/>
        <v/>
      </c>
      <c r="C366" s="176" t="str">
        <f t="shared" si="51"/>
        <v/>
      </c>
      <c r="D366" s="175">
        <f t="shared" si="26"/>
        <v>12</v>
      </c>
      <c r="E366" s="177"/>
      <c r="F366" s="177" t="str">
        <f>IFERROR(VLOOKUP(E366,Bar!$B:$C,2,0),"")</f>
        <v/>
      </c>
      <c r="G366" s="175"/>
      <c r="H366" s="175">
        <f>IFERROR(IFERROR(VLOOKUP(E366,Bar!$B:$D,3,0),"")*G366,"")</f>
        <v>0</v>
      </c>
      <c r="I366" s="175">
        <f>IFERROR(IFERROR(VLOOKUP(E366,Bar!$B:$H,7,0),"")*G366,"")</f>
        <v>0</v>
      </c>
      <c r="J366" s="175">
        <f t="shared" si="2"/>
        <v>0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3"/>
      <c r="B367" s="175" t="str">
        <f>IF(E367="","",B213+1)</f>
        <v/>
      </c>
      <c r="C367" s="176" t="str">
        <f t="shared" si="51"/>
        <v/>
      </c>
      <c r="D367" s="175">
        <f t="shared" si="26"/>
        <v>12</v>
      </c>
      <c r="E367" s="177"/>
      <c r="F367" s="177" t="str">
        <f>IFERROR(VLOOKUP(E367,Bar!$B:$C,2,0),"")</f>
        <v/>
      </c>
      <c r="G367" s="175"/>
      <c r="H367" s="175">
        <f>IFERROR(IFERROR(VLOOKUP(E367,Bar!$B:$D,3,0),"")*G367,"")</f>
        <v>0</v>
      </c>
      <c r="I367" s="175">
        <f>IFERROR(IFERROR(VLOOKUP(E367,Bar!$B:$H,7,0),"")*G367,"")</f>
        <v>0</v>
      </c>
      <c r="J367" s="175">
        <f t="shared" si="2"/>
        <v>0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3"/>
      <c r="B368" s="175" t="str">
        <f t="shared" ref="B368:B383" si="58">IF(E368="","",B367+1)</f>
        <v/>
      </c>
      <c r="C368" s="176" t="str">
        <f t="shared" si="51"/>
        <v/>
      </c>
      <c r="D368" s="175">
        <f t="shared" si="26"/>
        <v>12</v>
      </c>
      <c r="E368" s="177"/>
      <c r="F368" s="177" t="str">
        <f>IFERROR(VLOOKUP(E368,Bar!$B:$C,2,0),"")</f>
        <v/>
      </c>
      <c r="G368" s="175"/>
      <c r="H368" s="175">
        <f>IFERROR(IFERROR(VLOOKUP(E368,Bar!$B:$D,3,0),"")*G368,"")</f>
        <v>0</v>
      </c>
      <c r="I368" s="175">
        <f>IFERROR(IFERROR(VLOOKUP(E368,Bar!$B:$H,7,0),"")*G368,"")</f>
        <v>0</v>
      </c>
      <c r="J368" s="175">
        <f t="shared" si="2"/>
        <v>0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3"/>
      <c r="B369" s="175" t="str">
        <f t="shared" si="58"/>
        <v/>
      </c>
      <c r="C369" s="176" t="str">
        <f t="shared" si="51"/>
        <v/>
      </c>
      <c r="D369" s="175">
        <f t="shared" si="26"/>
        <v>12</v>
      </c>
      <c r="E369" s="177"/>
      <c r="F369" s="177" t="str">
        <f>IFERROR(VLOOKUP(E369,Bar!$B:$C,2,0),"")</f>
        <v/>
      </c>
      <c r="G369" s="175"/>
      <c r="H369" s="175">
        <f>IFERROR(IFERROR(VLOOKUP(E369,Bar!$B:$D,3,0),"")*G369,"")</f>
        <v>0</v>
      </c>
      <c r="I369" s="175">
        <f>IFERROR(IFERROR(VLOOKUP(E369,Bar!$B:$H,7,0),"")*G369,"")</f>
        <v>0</v>
      </c>
      <c r="J369" s="175">
        <f t="shared" si="2"/>
        <v>0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3"/>
      <c r="B370" s="175" t="str">
        <f t="shared" si="58"/>
        <v/>
      </c>
      <c r="C370" s="176" t="str">
        <f t="shared" si="51"/>
        <v/>
      </c>
      <c r="D370" s="175">
        <f t="shared" si="26"/>
        <v>12</v>
      </c>
      <c r="E370" s="177"/>
      <c r="F370" s="177" t="str">
        <f>IFERROR(VLOOKUP(E370,Bar!$B:$C,2,0),"")</f>
        <v/>
      </c>
      <c r="G370" s="175"/>
      <c r="H370" s="175">
        <f>IFERROR(IFERROR(VLOOKUP(E370,Bar!$B:$D,3,0),"")*G370,"")</f>
        <v>0</v>
      </c>
      <c r="I370" s="175">
        <f>IFERROR(IFERROR(VLOOKUP(E370,Bar!$B:$H,7,0),"")*G370,"")</f>
        <v>0</v>
      </c>
      <c r="J370" s="175">
        <f t="shared" si="2"/>
        <v>0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3"/>
      <c r="B371" s="175" t="str">
        <f t="shared" si="58"/>
        <v/>
      </c>
      <c r="C371" s="176" t="str">
        <f t="shared" si="51"/>
        <v/>
      </c>
      <c r="D371" s="175">
        <f t="shared" si="26"/>
        <v>12</v>
      </c>
      <c r="E371" s="177"/>
      <c r="F371" s="177" t="str">
        <f>IFERROR(VLOOKUP(E371,Bar!$B:$C,2,0),"")</f>
        <v/>
      </c>
      <c r="G371" s="175"/>
      <c r="H371" s="175">
        <f>IFERROR(IFERROR(VLOOKUP(E371,Bar!$B:$D,3,0),"")*G371,"")</f>
        <v>0</v>
      </c>
      <c r="I371" s="175">
        <f>IFERROR(IFERROR(VLOOKUP(E371,Bar!$B:$H,7,0),"")*G371,"")</f>
        <v>0</v>
      </c>
      <c r="J371" s="175">
        <f t="shared" si="2"/>
        <v>0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3"/>
      <c r="B372" s="175" t="str">
        <f t="shared" si="58"/>
        <v/>
      </c>
      <c r="C372" s="176" t="str">
        <f t="shared" si="51"/>
        <v/>
      </c>
      <c r="D372" s="175">
        <f t="shared" si="26"/>
        <v>12</v>
      </c>
      <c r="E372" s="177"/>
      <c r="F372" s="177" t="str">
        <f>IFERROR(VLOOKUP(E372,Bar!$B:$C,2,0),"")</f>
        <v/>
      </c>
      <c r="G372" s="175"/>
      <c r="H372" s="175">
        <f>IFERROR(IFERROR(VLOOKUP(E372,Bar!$B:$D,3,0),"")*G372,"")</f>
        <v>0</v>
      </c>
      <c r="I372" s="175">
        <f>IFERROR(IFERROR(VLOOKUP(E372,Bar!$B:$H,7,0),"")*G372,"")</f>
        <v>0</v>
      </c>
      <c r="J372" s="175">
        <f t="shared" si="2"/>
        <v>0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3"/>
      <c r="B373" s="175" t="str">
        <f t="shared" si="58"/>
        <v/>
      </c>
      <c r="C373" s="176" t="str">
        <f t="shared" si="51"/>
        <v/>
      </c>
      <c r="D373" s="175">
        <f t="shared" si="26"/>
        <v>12</v>
      </c>
      <c r="E373" s="177"/>
      <c r="F373" s="177" t="str">
        <f>IFERROR(VLOOKUP(E373,Bar!$B:$C,2,0),"")</f>
        <v/>
      </c>
      <c r="G373" s="175"/>
      <c r="H373" s="175">
        <f>IFERROR(IFERROR(VLOOKUP(E373,Bar!$B:$D,3,0),"")*G373,"")</f>
        <v>0</v>
      </c>
      <c r="I373" s="175">
        <f>IFERROR(IFERROR(VLOOKUP(E373,Bar!$B:$H,7,0),"")*G373,"")</f>
        <v>0</v>
      </c>
      <c r="J373" s="175">
        <f t="shared" si="2"/>
        <v>0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3"/>
      <c r="B374" s="175" t="str">
        <f t="shared" si="58"/>
        <v/>
      </c>
      <c r="C374" s="176" t="str">
        <f t="shared" si="51"/>
        <v/>
      </c>
      <c r="D374" s="175">
        <f t="shared" si="26"/>
        <v>12</v>
      </c>
      <c r="E374" s="177"/>
      <c r="F374" s="177" t="str">
        <f>IFERROR(VLOOKUP(E374,Bar!$B:$C,2,0),"")</f>
        <v/>
      </c>
      <c r="G374" s="175"/>
      <c r="H374" s="175">
        <f>IFERROR(IFERROR(VLOOKUP(E374,Bar!$B:$D,3,0),"")*G374,"")</f>
        <v>0</v>
      </c>
      <c r="I374" s="175">
        <f>IFERROR(IFERROR(VLOOKUP(E374,Bar!$B:$H,7,0),"")*G374,"")</f>
        <v>0</v>
      </c>
      <c r="J374" s="175">
        <f t="shared" si="2"/>
        <v>0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3"/>
      <c r="B375" s="175" t="str">
        <f t="shared" si="58"/>
        <v/>
      </c>
      <c r="C375" s="176" t="str">
        <f t="shared" si="51"/>
        <v/>
      </c>
      <c r="D375" s="175">
        <f t="shared" si="26"/>
        <v>12</v>
      </c>
      <c r="E375" s="177"/>
      <c r="F375" s="177" t="str">
        <f>IFERROR(VLOOKUP(E375,Bar!$B:$C,2,0),"")</f>
        <v/>
      </c>
      <c r="G375" s="175"/>
      <c r="H375" s="175">
        <f>IFERROR(IFERROR(VLOOKUP(E375,Bar!$B:$D,3,0),"")*G375,"")</f>
        <v>0</v>
      </c>
      <c r="I375" s="175">
        <f>IFERROR(IFERROR(VLOOKUP(E375,Bar!$B:$H,7,0),"")*G375,"")</f>
        <v>0</v>
      </c>
      <c r="J375" s="175">
        <f t="shared" si="2"/>
        <v>0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3"/>
      <c r="B376" s="175" t="str">
        <f t="shared" si="58"/>
        <v/>
      </c>
      <c r="C376" s="176" t="str">
        <f t="shared" si="51"/>
        <v/>
      </c>
      <c r="D376" s="175">
        <f t="shared" si="26"/>
        <v>12</v>
      </c>
      <c r="E376" s="177"/>
      <c r="F376" s="177" t="str">
        <f>IFERROR(VLOOKUP(E376,Bar!$B:$C,2,0),"")</f>
        <v/>
      </c>
      <c r="G376" s="175"/>
      <c r="H376" s="175">
        <f>IFERROR(IFERROR(VLOOKUP(E376,Bar!$B:$D,3,0),"")*G376,"")</f>
        <v>0</v>
      </c>
      <c r="I376" s="175">
        <f>IFERROR(IFERROR(VLOOKUP(E376,Bar!$B:$H,7,0),"")*G376,"")</f>
        <v>0</v>
      </c>
      <c r="J376" s="175">
        <f t="shared" si="2"/>
        <v>0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3"/>
      <c r="B377" s="175" t="str">
        <f t="shared" si="58"/>
        <v/>
      </c>
      <c r="C377" s="176" t="str">
        <f t="shared" si="51"/>
        <v/>
      </c>
      <c r="D377" s="175">
        <f t="shared" si="26"/>
        <v>12</v>
      </c>
      <c r="E377" s="177"/>
      <c r="F377" s="177" t="str">
        <f>IFERROR(VLOOKUP(E377,Bar!$B:$C,2,0),"")</f>
        <v/>
      </c>
      <c r="G377" s="175"/>
      <c r="H377" s="175">
        <f>IFERROR(IFERROR(VLOOKUP(E377,Bar!$B:$D,3,0),"")*G377,"")</f>
        <v>0</v>
      </c>
      <c r="I377" s="175">
        <f>IFERROR(IFERROR(VLOOKUP(E377,Bar!$B:$H,7,0),"")*G377,"")</f>
        <v>0</v>
      </c>
      <c r="J377" s="175">
        <f t="shared" si="2"/>
        <v>0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3"/>
      <c r="B378" s="175" t="str">
        <f t="shared" si="58"/>
        <v/>
      </c>
      <c r="C378" s="176" t="str">
        <f t="shared" si="51"/>
        <v/>
      </c>
      <c r="D378" s="175">
        <f t="shared" si="26"/>
        <v>12</v>
      </c>
      <c r="E378" s="177"/>
      <c r="F378" s="177" t="str">
        <f>IFERROR(VLOOKUP(E378,Bar!$B:$C,2,0),"")</f>
        <v/>
      </c>
      <c r="G378" s="175"/>
      <c r="H378" s="175">
        <f>IFERROR(IFERROR(VLOOKUP(E378,Bar!$B:$D,3,0),"")*G378,"")</f>
        <v>0</v>
      </c>
      <c r="I378" s="175">
        <f>IFERROR(IFERROR(VLOOKUP(E378,Bar!$B:$H,7,0),"")*G378,"")</f>
        <v>0</v>
      </c>
      <c r="J378" s="175">
        <f t="shared" si="2"/>
        <v>0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3"/>
      <c r="B379" s="175" t="str">
        <f t="shared" si="58"/>
        <v/>
      </c>
      <c r="C379" s="176" t="str">
        <f t="shared" si="51"/>
        <v/>
      </c>
      <c r="D379" s="175">
        <f t="shared" si="26"/>
        <v>12</v>
      </c>
      <c r="E379" s="177"/>
      <c r="F379" s="177" t="str">
        <f>IFERROR(VLOOKUP(E379,Bar!$B:$C,2,0),"")</f>
        <v/>
      </c>
      <c r="G379" s="175"/>
      <c r="H379" s="175">
        <f>IFERROR(IFERROR(VLOOKUP(E379,Bar!$B:$D,3,0),"")*G379,"")</f>
        <v>0</v>
      </c>
      <c r="I379" s="175">
        <f>IFERROR(IFERROR(VLOOKUP(E379,Bar!$B:$H,7,0),"")*G379,"")</f>
        <v>0</v>
      </c>
      <c r="J379" s="175">
        <f t="shared" si="2"/>
        <v>0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3"/>
      <c r="B380" s="175" t="str">
        <f t="shared" si="58"/>
        <v/>
      </c>
      <c r="C380" s="176" t="str">
        <f t="shared" si="51"/>
        <v/>
      </c>
      <c r="D380" s="175">
        <f t="shared" si="26"/>
        <v>12</v>
      </c>
      <c r="E380" s="177"/>
      <c r="F380" s="177" t="str">
        <f>IFERROR(VLOOKUP(E380,Bar!$B:$C,2,0),"")</f>
        <v/>
      </c>
      <c r="G380" s="175"/>
      <c r="H380" s="175">
        <f>IFERROR(IFERROR(VLOOKUP(E380,Bar!$B:$D,3,0),"")*G380,"")</f>
        <v>0</v>
      </c>
      <c r="I380" s="175">
        <f>IFERROR(IFERROR(VLOOKUP(E380,Bar!$B:$H,7,0),"")*G380,"")</f>
        <v>0</v>
      </c>
      <c r="J380" s="175">
        <f t="shared" si="2"/>
        <v>0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3"/>
      <c r="B381" s="175" t="str">
        <f t="shared" si="58"/>
        <v/>
      </c>
      <c r="C381" s="176" t="str">
        <f t="shared" si="51"/>
        <v/>
      </c>
      <c r="D381" s="175">
        <f t="shared" si="26"/>
        <v>12</v>
      </c>
      <c r="E381" s="177"/>
      <c r="F381" s="177" t="str">
        <f>IFERROR(VLOOKUP(E381,Bar!$B:$C,2,0),"")</f>
        <v/>
      </c>
      <c r="G381" s="175"/>
      <c r="H381" s="175">
        <f>IFERROR(IFERROR(VLOOKUP(E381,Bar!$B:$D,3,0),"")*G381,"")</f>
        <v>0</v>
      </c>
      <c r="I381" s="175">
        <f>IFERROR(IFERROR(VLOOKUP(E381,Bar!$B:$H,7,0),"")*G381,"")</f>
        <v>0</v>
      </c>
      <c r="J381" s="175">
        <f t="shared" si="2"/>
        <v>0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3"/>
      <c r="B382" s="175" t="str">
        <f t="shared" si="58"/>
        <v/>
      </c>
      <c r="C382" s="176" t="str">
        <f t="shared" si="51"/>
        <v/>
      </c>
      <c r="D382" s="175">
        <f t="shared" si="26"/>
        <v>12</v>
      </c>
      <c r="E382" s="177"/>
      <c r="F382" s="177" t="str">
        <f>IFERROR(VLOOKUP(E382,Bar!$B:$C,2,0),"")</f>
        <v/>
      </c>
      <c r="G382" s="175"/>
      <c r="H382" s="175">
        <f>IFERROR(IFERROR(VLOOKUP(E382,Bar!$B:$D,3,0),"")*G382,"")</f>
        <v>0</v>
      </c>
      <c r="I382" s="175">
        <f>IFERROR(IFERROR(VLOOKUP(E382,Bar!$B:$H,7,0),"")*G382,"")</f>
        <v>0</v>
      </c>
      <c r="J382" s="175">
        <f t="shared" si="2"/>
        <v>0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3"/>
      <c r="B383" s="175" t="str">
        <f t="shared" si="58"/>
        <v/>
      </c>
      <c r="C383" s="176" t="str">
        <f t="shared" si="51"/>
        <v/>
      </c>
      <c r="D383" s="175">
        <f t="shared" si="26"/>
        <v>12</v>
      </c>
      <c r="E383" s="177"/>
      <c r="F383" s="177" t="str">
        <f>IFERROR(VLOOKUP(E383,Bar!$B:$C,2,0),"")</f>
        <v/>
      </c>
      <c r="G383" s="175"/>
      <c r="H383" s="175">
        <f>IFERROR(IFERROR(VLOOKUP(E383,Bar!$B:$D,3,0),"")*G383,"")</f>
        <v>0</v>
      </c>
      <c r="I383" s="175">
        <f>IFERROR(IFERROR(VLOOKUP(E383,Bar!$B:$H,7,0),"")*G383,"")</f>
        <v>0</v>
      </c>
      <c r="J383" s="175">
        <f t="shared" si="2"/>
        <v>0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3"/>
      <c r="B384" s="175" t="str">
        <f>IF(E384="","",B230+1)</f>
        <v/>
      </c>
      <c r="C384" s="176" t="str">
        <f t="shared" si="51"/>
        <v/>
      </c>
      <c r="D384" s="175">
        <f t="shared" si="26"/>
        <v>12</v>
      </c>
      <c r="E384" s="177"/>
      <c r="F384" s="177" t="str">
        <f>IFERROR(VLOOKUP(E384,Bar!$B:$C,2,0),"")</f>
        <v/>
      </c>
      <c r="G384" s="175"/>
      <c r="H384" s="175">
        <f>IFERROR(IFERROR(VLOOKUP(E384,Bar!$B:$D,3,0),"")*G384,"")</f>
        <v>0</v>
      </c>
      <c r="I384" s="175">
        <f>IFERROR(IFERROR(VLOOKUP(E384,Bar!$B:$H,7,0),"")*G384,"")</f>
        <v>0</v>
      </c>
      <c r="J384" s="175">
        <f t="shared" si="2"/>
        <v>0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3"/>
      <c r="B385" s="175" t="str">
        <f t="shared" ref="B385:B400" si="59">IF(E385="","",B384+1)</f>
        <v/>
      </c>
      <c r="C385" s="176" t="str">
        <f t="shared" si="51"/>
        <v/>
      </c>
      <c r="D385" s="175">
        <f t="shared" si="26"/>
        <v>12</v>
      </c>
      <c r="E385" s="177"/>
      <c r="F385" s="177" t="str">
        <f>IFERROR(VLOOKUP(E385,Bar!$B:$C,2,0),"")</f>
        <v/>
      </c>
      <c r="G385" s="175"/>
      <c r="H385" s="175">
        <f>IFERROR(IFERROR(VLOOKUP(E385,Bar!$B:$D,3,0),"")*G385,"")</f>
        <v>0</v>
      </c>
      <c r="I385" s="175">
        <f>IFERROR(IFERROR(VLOOKUP(E385,Bar!$B:$H,7,0),"")*G385,"")</f>
        <v>0</v>
      </c>
      <c r="J385" s="175">
        <f t="shared" si="2"/>
        <v>0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3"/>
      <c r="B386" s="175" t="str">
        <f t="shared" si="59"/>
        <v/>
      </c>
      <c r="C386" s="176" t="str">
        <f t="shared" si="51"/>
        <v/>
      </c>
      <c r="D386" s="175">
        <f t="shared" si="26"/>
        <v>12</v>
      </c>
      <c r="E386" s="177"/>
      <c r="F386" s="177" t="str">
        <f>IFERROR(VLOOKUP(E386,Bar!$B:$C,2,0),"")</f>
        <v/>
      </c>
      <c r="G386" s="175"/>
      <c r="H386" s="175">
        <f>IFERROR(IFERROR(VLOOKUP(E386,Bar!$B:$D,3,0),"")*G386,"")</f>
        <v>0</v>
      </c>
      <c r="I386" s="175">
        <f>IFERROR(IFERROR(VLOOKUP(E386,Bar!$B:$H,7,0),"")*G386,"")</f>
        <v>0</v>
      </c>
      <c r="J386" s="175">
        <f t="shared" si="2"/>
        <v>0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3"/>
      <c r="B387" s="175" t="str">
        <f t="shared" si="59"/>
        <v/>
      </c>
      <c r="C387" s="176" t="str">
        <f t="shared" si="51"/>
        <v/>
      </c>
      <c r="D387" s="175">
        <f t="shared" si="26"/>
        <v>12</v>
      </c>
      <c r="E387" s="177"/>
      <c r="F387" s="177" t="str">
        <f>IFERROR(VLOOKUP(E387,Bar!$B:$C,2,0),"")</f>
        <v/>
      </c>
      <c r="G387" s="175"/>
      <c r="H387" s="175">
        <f>IFERROR(IFERROR(VLOOKUP(E387,Bar!$B:$D,3,0),"")*G387,"")</f>
        <v>0</v>
      </c>
      <c r="I387" s="175">
        <f>IFERROR(IFERROR(VLOOKUP(E387,Bar!$B:$H,7,0),"")*G387,"")</f>
        <v>0</v>
      </c>
      <c r="J387" s="175">
        <f t="shared" si="2"/>
        <v>0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3"/>
      <c r="B388" s="175" t="str">
        <f t="shared" si="59"/>
        <v/>
      </c>
      <c r="C388" s="176" t="str">
        <f t="shared" si="51"/>
        <v/>
      </c>
      <c r="D388" s="175">
        <f t="shared" si="26"/>
        <v>12</v>
      </c>
      <c r="E388" s="177"/>
      <c r="F388" s="177" t="str">
        <f>IFERROR(VLOOKUP(E388,Bar!$B:$C,2,0),"")</f>
        <v/>
      </c>
      <c r="G388" s="175"/>
      <c r="H388" s="175">
        <f>IFERROR(IFERROR(VLOOKUP(E388,Bar!$B:$D,3,0),"")*G388,"")</f>
        <v>0</v>
      </c>
      <c r="I388" s="175">
        <f>IFERROR(IFERROR(VLOOKUP(E388,Bar!$B:$H,7,0),"")*G388,"")</f>
        <v>0</v>
      </c>
      <c r="J388" s="175">
        <f t="shared" si="2"/>
        <v>0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3"/>
      <c r="B389" s="175" t="str">
        <f t="shared" si="59"/>
        <v/>
      </c>
      <c r="C389" s="176" t="str">
        <f t="shared" si="51"/>
        <v/>
      </c>
      <c r="D389" s="175">
        <f t="shared" si="26"/>
        <v>12</v>
      </c>
      <c r="E389" s="177"/>
      <c r="F389" s="177" t="str">
        <f>IFERROR(VLOOKUP(E389,Bar!$B:$C,2,0),"")</f>
        <v/>
      </c>
      <c r="G389" s="175"/>
      <c r="H389" s="175">
        <f>IFERROR(IFERROR(VLOOKUP(E389,Bar!$B:$D,3,0),"")*G389,"")</f>
        <v>0</v>
      </c>
      <c r="I389" s="175">
        <f>IFERROR(IFERROR(VLOOKUP(E389,Bar!$B:$H,7,0),"")*G389,"")</f>
        <v>0</v>
      </c>
      <c r="J389" s="175">
        <f t="shared" si="2"/>
        <v>0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3"/>
      <c r="B390" s="175" t="str">
        <f t="shared" si="59"/>
        <v/>
      </c>
      <c r="C390" s="176" t="str">
        <f t="shared" si="51"/>
        <v/>
      </c>
      <c r="D390" s="175">
        <f t="shared" si="26"/>
        <v>12</v>
      </c>
      <c r="E390" s="177"/>
      <c r="F390" s="177" t="str">
        <f>IFERROR(VLOOKUP(E390,Bar!$B:$C,2,0),"")</f>
        <v/>
      </c>
      <c r="G390" s="175"/>
      <c r="H390" s="175">
        <f>IFERROR(IFERROR(VLOOKUP(E390,Bar!$B:$D,3,0),"")*G390,"")</f>
        <v>0</v>
      </c>
      <c r="I390" s="175">
        <f>IFERROR(IFERROR(VLOOKUP(E390,Bar!$B:$H,7,0),"")*G390,"")</f>
        <v>0</v>
      </c>
      <c r="J390" s="175">
        <f t="shared" si="2"/>
        <v>0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3"/>
      <c r="B391" s="175" t="str">
        <f t="shared" si="59"/>
        <v/>
      </c>
      <c r="C391" s="176" t="str">
        <f t="shared" si="51"/>
        <v/>
      </c>
      <c r="D391" s="175">
        <f t="shared" si="26"/>
        <v>12</v>
      </c>
      <c r="E391" s="177"/>
      <c r="F391" s="177" t="str">
        <f>IFERROR(VLOOKUP(E391,Bar!$B:$C,2,0),"")</f>
        <v/>
      </c>
      <c r="G391" s="175"/>
      <c r="H391" s="175">
        <f>IFERROR(IFERROR(VLOOKUP(E391,Bar!$B:$D,3,0),"")*G391,"")</f>
        <v>0</v>
      </c>
      <c r="I391" s="175">
        <f>IFERROR(IFERROR(VLOOKUP(E391,Bar!$B:$H,7,0),"")*G391,"")</f>
        <v>0</v>
      </c>
      <c r="J391" s="175">
        <f t="shared" si="2"/>
        <v>0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3"/>
      <c r="B392" s="175" t="str">
        <f t="shared" si="59"/>
        <v/>
      </c>
      <c r="C392" s="176" t="str">
        <f t="shared" si="51"/>
        <v/>
      </c>
      <c r="D392" s="175">
        <f t="shared" si="26"/>
        <v>12</v>
      </c>
      <c r="E392" s="177"/>
      <c r="F392" s="177" t="str">
        <f>IFERROR(VLOOKUP(E392,Bar!$B:$C,2,0),"")</f>
        <v/>
      </c>
      <c r="G392" s="175"/>
      <c r="H392" s="175">
        <f>IFERROR(IFERROR(VLOOKUP(E392,Bar!$B:$D,3,0),"")*G392,"")</f>
        <v>0</v>
      </c>
      <c r="I392" s="175">
        <f>IFERROR(IFERROR(VLOOKUP(E392,Bar!$B:$H,7,0),"")*G392,"")</f>
        <v>0</v>
      </c>
      <c r="J392" s="175">
        <f t="shared" si="2"/>
        <v>0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3"/>
      <c r="B393" s="175" t="str">
        <f t="shared" si="59"/>
        <v/>
      </c>
      <c r="C393" s="176" t="str">
        <f t="shared" si="51"/>
        <v/>
      </c>
      <c r="D393" s="175">
        <f t="shared" si="26"/>
        <v>12</v>
      </c>
      <c r="E393" s="177"/>
      <c r="F393" s="177" t="str">
        <f>IFERROR(VLOOKUP(E393,Bar!$B:$C,2,0),"")</f>
        <v/>
      </c>
      <c r="G393" s="175"/>
      <c r="H393" s="175">
        <f>IFERROR(IFERROR(VLOOKUP(E393,Bar!$B:$D,3,0),"")*G393,"")</f>
        <v>0</v>
      </c>
      <c r="I393" s="175">
        <f>IFERROR(IFERROR(VLOOKUP(E393,Bar!$B:$H,7,0),"")*G393,"")</f>
        <v>0</v>
      </c>
      <c r="J393" s="175">
        <f t="shared" si="2"/>
        <v>0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3"/>
      <c r="B394" s="175" t="str">
        <f t="shared" si="59"/>
        <v/>
      </c>
      <c r="C394" s="176" t="str">
        <f t="shared" si="51"/>
        <v/>
      </c>
      <c r="D394" s="175">
        <f t="shared" si="26"/>
        <v>12</v>
      </c>
      <c r="E394" s="177"/>
      <c r="F394" s="177" t="str">
        <f>IFERROR(VLOOKUP(E394,Bar!$B:$C,2,0),"")</f>
        <v/>
      </c>
      <c r="G394" s="175"/>
      <c r="H394" s="175">
        <f>IFERROR(IFERROR(VLOOKUP(E394,Bar!$B:$D,3,0),"")*G394,"")</f>
        <v>0</v>
      </c>
      <c r="I394" s="175">
        <f>IFERROR(IFERROR(VLOOKUP(E394,Bar!$B:$H,7,0),"")*G394,"")</f>
        <v>0</v>
      </c>
      <c r="J394" s="175">
        <f t="shared" si="2"/>
        <v>0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3"/>
      <c r="B395" s="175" t="str">
        <f t="shared" si="59"/>
        <v/>
      </c>
      <c r="C395" s="176" t="str">
        <f t="shared" si="51"/>
        <v/>
      </c>
      <c r="D395" s="175">
        <f t="shared" si="26"/>
        <v>12</v>
      </c>
      <c r="E395" s="177"/>
      <c r="F395" s="177" t="str">
        <f>IFERROR(VLOOKUP(E395,Bar!$B:$C,2,0),"")</f>
        <v/>
      </c>
      <c r="G395" s="175"/>
      <c r="H395" s="175">
        <f>IFERROR(IFERROR(VLOOKUP(E395,Bar!$B:$D,3,0),"")*G395,"")</f>
        <v>0</v>
      </c>
      <c r="I395" s="175">
        <f>IFERROR(IFERROR(VLOOKUP(E395,Bar!$B:$H,7,0),"")*G395,"")</f>
        <v>0</v>
      </c>
      <c r="J395" s="175">
        <f t="shared" si="2"/>
        <v>0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3"/>
      <c r="B396" s="175" t="str">
        <f t="shared" si="59"/>
        <v/>
      </c>
      <c r="C396" s="176" t="str">
        <f t="shared" si="51"/>
        <v/>
      </c>
      <c r="D396" s="175">
        <f t="shared" si="26"/>
        <v>12</v>
      </c>
      <c r="E396" s="177"/>
      <c r="F396" s="177" t="str">
        <f>IFERROR(VLOOKUP(E396,Bar!$B:$C,2,0),"")</f>
        <v/>
      </c>
      <c r="G396" s="175"/>
      <c r="H396" s="175">
        <f>IFERROR(IFERROR(VLOOKUP(E396,Bar!$B:$D,3,0),"")*G396,"")</f>
        <v>0</v>
      </c>
      <c r="I396" s="175">
        <f>IFERROR(IFERROR(VLOOKUP(E396,Bar!$B:$H,7,0),"")*G396,"")</f>
        <v>0</v>
      </c>
      <c r="J396" s="175">
        <f t="shared" si="2"/>
        <v>0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3"/>
      <c r="B397" s="175" t="str">
        <f t="shared" si="59"/>
        <v/>
      </c>
      <c r="C397" s="176" t="str">
        <f t="shared" si="51"/>
        <v/>
      </c>
      <c r="D397" s="175">
        <f t="shared" si="26"/>
        <v>12</v>
      </c>
      <c r="E397" s="177"/>
      <c r="F397" s="177" t="str">
        <f>IFERROR(VLOOKUP(E397,Bar!$B:$C,2,0),"")</f>
        <v/>
      </c>
      <c r="G397" s="175"/>
      <c r="H397" s="175">
        <f>IFERROR(IFERROR(VLOOKUP(E397,Bar!$B:$D,3,0),"")*G397,"")</f>
        <v>0</v>
      </c>
      <c r="I397" s="175">
        <f>IFERROR(IFERROR(VLOOKUP(E397,Bar!$B:$H,7,0),"")*G397,"")</f>
        <v>0</v>
      </c>
      <c r="J397" s="175">
        <f t="shared" si="2"/>
        <v>0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3"/>
      <c r="B398" s="175" t="str">
        <f t="shared" si="59"/>
        <v/>
      </c>
      <c r="C398" s="176" t="str">
        <f t="shared" si="51"/>
        <v/>
      </c>
      <c r="D398" s="175">
        <f t="shared" si="26"/>
        <v>12</v>
      </c>
      <c r="E398" s="177"/>
      <c r="F398" s="177" t="str">
        <f>IFERROR(VLOOKUP(E398,Bar!$B:$C,2,0),"")</f>
        <v/>
      </c>
      <c r="G398" s="175"/>
      <c r="H398" s="175">
        <f>IFERROR(IFERROR(VLOOKUP(E398,Bar!$B:$D,3,0),"")*G398,"")</f>
        <v>0</v>
      </c>
      <c r="I398" s="175">
        <f>IFERROR(IFERROR(VLOOKUP(E398,Bar!$B:$H,7,0),"")*G398,"")</f>
        <v>0</v>
      </c>
      <c r="J398" s="175">
        <f t="shared" si="2"/>
        <v>0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3"/>
      <c r="B399" s="175" t="str">
        <f t="shared" si="59"/>
        <v/>
      </c>
      <c r="C399" s="176" t="str">
        <f t="shared" si="51"/>
        <v/>
      </c>
      <c r="D399" s="175">
        <f t="shared" si="26"/>
        <v>12</v>
      </c>
      <c r="E399" s="177"/>
      <c r="F399" s="177" t="str">
        <f>IFERROR(VLOOKUP(E399,Bar!$B:$C,2,0),"")</f>
        <v/>
      </c>
      <c r="G399" s="175"/>
      <c r="H399" s="175">
        <f>IFERROR(IFERROR(VLOOKUP(E399,Bar!$B:$D,3,0),"")*G399,"")</f>
        <v>0</v>
      </c>
      <c r="I399" s="175">
        <f>IFERROR(IFERROR(VLOOKUP(E399,Bar!$B:$H,7,0),"")*G399,"")</f>
        <v>0</v>
      </c>
      <c r="J399" s="175">
        <f t="shared" si="2"/>
        <v>0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3"/>
      <c r="B400" s="175" t="str">
        <f t="shared" si="59"/>
        <v/>
      </c>
      <c r="C400" s="176" t="str">
        <f t="shared" si="51"/>
        <v/>
      </c>
      <c r="D400" s="175">
        <f t="shared" si="26"/>
        <v>12</v>
      </c>
      <c r="E400" s="177"/>
      <c r="F400" s="177" t="str">
        <f>IFERROR(VLOOKUP(E400,Bar!$B:$C,2,0),"")</f>
        <v/>
      </c>
      <c r="G400" s="175"/>
      <c r="H400" s="175">
        <f>IFERROR(IFERROR(VLOOKUP(E400,Bar!$B:$D,3,0),"")*G400,"")</f>
        <v>0</v>
      </c>
      <c r="I400" s="175">
        <f>IFERROR(IFERROR(VLOOKUP(E400,Bar!$B:$H,7,0),"")*G400,"")</f>
        <v>0</v>
      </c>
      <c r="J400" s="175">
        <f t="shared" si="2"/>
        <v>0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3"/>
      <c r="B401" s="175" t="str">
        <f>IF(E401="","",B247+1)</f>
        <v/>
      </c>
      <c r="C401" s="176" t="str">
        <f t="shared" si="51"/>
        <v/>
      </c>
      <c r="D401" s="175">
        <f t="shared" si="26"/>
        <v>12</v>
      </c>
      <c r="E401" s="177"/>
      <c r="F401" s="177" t="str">
        <f>IFERROR(VLOOKUP(E401,Bar!$B:$C,2,0),"")</f>
        <v/>
      </c>
      <c r="G401" s="175"/>
      <c r="H401" s="175">
        <f>IFERROR(IFERROR(VLOOKUP(E401,Bar!$B:$D,3,0),"")*G401,"")</f>
        <v>0</v>
      </c>
      <c r="I401" s="175">
        <f>IFERROR(IFERROR(VLOOKUP(E401,Bar!$B:$H,7,0),"")*G401,"")</f>
        <v>0</v>
      </c>
      <c r="J401" s="175">
        <f t="shared" si="2"/>
        <v>0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3"/>
      <c r="B402" s="175" t="str">
        <f t="shared" ref="B402:B417" si="60">IF(E402="","",B401+1)</f>
        <v/>
      </c>
      <c r="C402" s="176" t="str">
        <f t="shared" si="51"/>
        <v/>
      </c>
      <c r="D402" s="175">
        <f t="shared" si="26"/>
        <v>12</v>
      </c>
      <c r="E402" s="177"/>
      <c r="F402" s="177" t="str">
        <f>IFERROR(VLOOKUP(E402,Bar!$B:$C,2,0),"")</f>
        <v/>
      </c>
      <c r="G402" s="175"/>
      <c r="H402" s="175">
        <f>IFERROR(IFERROR(VLOOKUP(E402,Bar!$B:$D,3,0),"")*G402,"")</f>
        <v>0</v>
      </c>
      <c r="I402" s="175">
        <f>IFERROR(IFERROR(VLOOKUP(E402,Bar!$B:$H,7,0),"")*G402,"")</f>
        <v>0</v>
      </c>
      <c r="J402" s="175">
        <f t="shared" si="2"/>
        <v>0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3"/>
      <c r="B403" s="175" t="str">
        <f t="shared" si="60"/>
        <v/>
      </c>
      <c r="C403" s="176" t="str">
        <f t="shared" si="51"/>
        <v/>
      </c>
      <c r="D403" s="175">
        <f t="shared" si="26"/>
        <v>12</v>
      </c>
      <c r="E403" s="177"/>
      <c r="F403" s="177" t="str">
        <f>IFERROR(VLOOKUP(E403,Bar!$B:$C,2,0),"")</f>
        <v/>
      </c>
      <c r="G403" s="175"/>
      <c r="H403" s="175">
        <f>IFERROR(IFERROR(VLOOKUP(E403,Bar!$B:$D,3,0),"")*G403,"")</f>
        <v>0</v>
      </c>
      <c r="I403" s="175">
        <f>IFERROR(IFERROR(VLOOKUP(E403,Bar!$B:$H,7,0),"")*G403,"")</f>
        <v>0</v>
      </c>
      <c r="J403" s="175">
        <f t="shared" si="2"/>
        <v>0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3"/>
      <c r="B404" s="175" t="str">
        <f t="shared" si="60"/>
        <v/>
      </c>
      <c r="C404" s="176" t="str">
        <f t="shared" si="51"/>
        <v/>
      </c>
      <c r="D404" s="175">
        <f t="shared" si="26"/>
        <v>12</v>
      </c>
      <c r="E404" s="177"/>
      <c r="F404" s="177" t="str">
        <f>IFERROR(VLOOKUP(E404,Bar!$B:$C,2,0),"")</f>
        <v/>
      </c>
      <c r="G404" s="175"/>
      <c r="H404" s="175">
        <f>IFERROR(IFERROR(VLOOKUP(E404,Bar!$B:$D,3,0),"")*G404,"")</f>
        <v>0</v>
      </c>
      <c r="I404" s="175">
        <f>IFERROR(IFERROR(VLOOKUP(E404,Bar!$B:$H,7,0),"")*G404,"")</f>
        <v>0</v>
      </c>
      <c r="J404" s="175">
        <f t="shared" si="2"/>
        <v>0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3"/>
      <c r="B405" s="175" t="str">
        <f t="shared" si="60"/>
        <v/>
      </c>
      <c r="C405" s="176" t="str">
        <f t="shared" si="51"/>
        <v/>
      </c>
      <c r="D405" s="175">
        <f t="shared" si="26"/>
        <v>12</v>
      </c>
      <c r="E405" s="177"/>
      <c r="F405" s="177" t="str">
        <f>IFERROR(VLOOKUP(E405,Bar!$B:$C,2,0),"")</f>
        <v/>
      </c>
      <c r="G405" s="175"/>
      <c r="H405" s="175">
        <f>IFERROR(IFERROR(VLOOKUP(E405,Bar!$B:$D,3,0),"")*G405,"")</f>
        <v>0</v>
      </c>
      <c r="I405" s="175">
        <f>IFERROR(IFERROR(VLOOKUP(E405,Bar!$B:$H,7,0),"")*G405,"")</f>
        <v>0</v>
      </c>
      <c r="J405" s="175">
        <f t="shared" si="2"/>
        <v>0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3"/>
      <c r="B406" s="175" t="str">
        <f t="shared" si="60"/>
        <v/>
      </c>
      <c r="C406" s="176" t="str">
        <f t="shared" si="51"/>
        <v/>
      </c>
      <c r="D406" s="175">
        <f t="shared" si="26"/>
        <v>12</v>
      </c>
      <c r="E406" s="177"/>
      <c r="F406" s="177" t="str">
        <f>IFERROR(VLOOKUP(E406,Bar!$B:$C,2,0),"")</f>
        <v/>
      </c>
      <c r="G406" s="175"/>
      <c r="H406" s="175">
        <f>IFERROR(IFERROR(VLOOKUP(E406,Bar!$B:$D,3,0),"")*G406,"")</f>
        <v>0</v>
      </c>
      <c r="I406" s="175">
        <f>IFERROR(IFERROR(VLOOKUP(E406,Bar!$B:$H,7,0),"")*G406,"")</f>
        <v>0</v>
      </c>
      <c r="J406" s="175">
        <f t="shared" si="2"/>
        <v>0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3"/>
      <c r="B407" s="175" t="str">
        <f t="shared" si="60"/>
        <v/>
      </c>
      <c r="C407" s="176" t="str">
        <f t="shared" si="51"/>
        <v/>
      </c>
      <c r="D407" s="175">
        <f t="shared" si="26"/>
        <v>12</v>
      </c>
      <c r="E407" s="177"/>
      <c r="F407" s="177" t="str">
        <f>IFERROR(VLOOKUP(E407,Bar!$B:$C,2,0),"")</f>
        <v/>
      </c>
      <c r="G407" s="175"/>
      <c r="H407" s="175">
        <f>IFERROR(IFERROR(VLOOKUP(E407,Bar!$B:$D,3,0),"")*G407,"")</f>
        <v>0</v>
      </c>
      <c r="I407" s="175">
        <f>IFERROR(IFERROR(VLOOKUP(E407,Bar!$B:$H,7,0),"")*G407,"")</f>
        <v>0</v>
      </c>
      <c r="J407" s="175">
        <f t="shared" si="2"/>
        <v>0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3"/>
      <c r="B408" s="175" t="str">
        <f t="shared" si="60"/>
        <v/>
      </c>
      <c r="C408" s="176" t="str">
        <f t="shared" si="51"/>
        <v/>
      </c>
      <c r="D408" s="175">
        <f t="shared" si="26"/>
        <v>12</v>
      </c>
      <c r="E408" s="177"/>
      <c r="F408" s="177" t="str">
        <f>IFERROR(VLOOKUP(E408,Bar!$B:$C,2,0),"")</f>
        <v/>
      </c>
      <c r="G408" s="175"/>
      <c r="H408" s="175">
        <f>IFERROR(IFERROR(VLOOKUP(E408,Bar!$B:$D,3,0),"")*G408,"")</f>
        <v>0</v>
      </c>
      <c r="I408" s="175">
        <f>IFERROR(IFERROR(VLOOKUP(E408,Bar!$B:$H,7,0),"")*G408,"")</f>
        <v>0</v>
      </c>
      <c r="J408" s="175">
        <f t="shared" si="2"/>
        <v>0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3"/>
      <c r="B409" s="175" t="str">
        <f t="shared" si="60"/>
        <v/>
      </c>
      <c r="C409" s="176" t="str">
        <f t="shared" si="51"/>
        <v/>
      </c>
      <c r="D409" s="175">
        <f t="shared" si="26"/>
        <v>12</v>
      </c>
      <c r="E409" s="177"/>
      <c r="F409" s="177" t="str">
        <f>IFERROR(VLOOKUP(E409,Bar!$B:$C,2,0),"")</f>
        <v/>
      </c>
      <c r="G409" s="175"/>
      <c r="H409" s="175">
        <f>IFERROR(IFERROR(VLOOKUP(E409,Bar!$B:$D,3,0),"")*G409,"")</f>
        <v>0</v>
      </c>
      <c r="I409" s="175">
        <f>IFERROR(IFERROR(VLOOKUP(E409,Bar!$B:$H,7,0),"")*G409,"")</f>
        <v>0</v>
      </c>
      <c r="J409" s="175">
        <f t="shared" si="2"/>
        <v>0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3"/>
      <c r="B410" s="175" t="str">
        <f t="shared" si="60"/>
        <v/>
      </c>
      <c r="C410" s="176" t="str">
        <f t="shared" si="51"/>
        <v/>
      </c>
      <c r="D410" s="175">
        <f t="shared" si="26"/>
        <v>12</v>
      </c>
      <c r="E410" s="177"/>
      <c r="F410" s="177" t="str">
        <f>IFERROR(VLOOKUP(E410,Bar!$B:$C,2,0),"")</f>
        <v/>
      </c>
      <c r="G410" s="175"/>
      <c r="H410" s="175">
        <f>IFERROR(IFERROR(VLOOKUP(E410,Bar!$B:$D,3,0),"")*G410,"")</f>
        <v>0</v>
      </c>
      <c r="I410" s="175">
        <f>IFERROR(IFERROR(VLOOKUP(E410,Bar!$B:$H,7,0),"")*G410,"")</f>
        <v>0</v>
      </c>
      <c r="J410" s="175">
        <f t="shared" si="2"/>
        <v>0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3"/>
      <c r="B411" s="175" t="str">
        <f t="shared" si="60"/>
        <v/>
      </c>
      <c r="C411" s="176" t="str">
        <f t="shared" si="51"/>
        <v/>
      </c>
      <c r="D411" s="175">
        <f t="shared" si="26"/>
        <v>12</v>
      </c>
      <c r="E411" s="177"/>
      <c r="F411" s="177" t="str">
        <f>IFERROR(VLOOKUP(E411,Bar!$B:$C,2,0),"")</f>
        <v/>
      </c>
      <c r="G411" s="175"/>
      <c r="H411" s="175">
        <f>IFERROR(IFERROR(VLOOKUP(E411,Bar!$B:$D,3,0),"")*G411,"")</f>
        <v>0</v>
      </c>
      <c r="I411" s="175">
        <f>IFERROR(IFERROR(VLOOKUP(E411,Bar!$B:$H,7,0),"")*G411,"")</f>
        <v>0</v>
      </c>
      <c r="J411" s="175">
        <f t="shared" si="2"/>
        <v>0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3"/>
      <c r="B412" s="175" t="str">
        <f t="shared" si="60"/>
        <v/>
      </c>
      <c r="C412" s="176" t="str">
        <f t="shared" si="51"/>
        <v/>
      </c>
      <c r="D412" s="175">
        <f t="shared" si="26"/>
        <v>12</v>
      </c>
      <c r="E412" s="177"/>
      <c r="F412" s="177" t="str">
        <f>IFERROR(VLOOKUP(E412,Bar!$B:$C,2,0),"")</f>
        <v/>
      </c>
      <c r="G412" s="175"/>
      <c r="H412" s="175">
        <f>IFERROR(IFERROR(VLOOKUP(E412,Bar!$B:$D,3,0),"")*G412,"")</f>
        <v>0</v>
      </c>
      <c r="I412" s="175">
        <f>IFERROR(IFERROR(VLOOKUP(E412,Bar!$B:$H,7,0),"")*G412,"")</f>
        <v>0</v>
      </c>
      <c r="J412" s="175">
        <f t="shared" si="2"/>
        <v>0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3"/>
      <c r="B413" s="175" t="str">
        <f t="shared" si="60"/>
        <v/>
      </c>
      <c r="C413" s="176" t="str">
        <f t="shared" si="51"/>
        <v/>
      </c>
      <c r="D413" s="175">
        <f t="shared" si="26"/>
        <v>12</v>
      </c>
      <c r="E413" s="177"/>
      <c r="F413" s="177" t="str">
        <f>IFERROR(VLOOKUP(E413,Bar!$B:$C,2,0),"")</f>
        <v/>
      </c>
      <c r="G413" s="175"/>
      <c r="H413" s="175">
        <f>IFERROR(IFERROR(VLOOKUP(E413,Bar!$B:$D,3,0),"")*G413,"")</f>
        <v>0</v>
      </c>
      <c r="I413" s="175">
        <f>IFERROR(IFERROR(VLOOKUP(E413,Bar!$B:$H,7,0),"")*G413,"")</f>
        <v>0</v>
      </c>
      <c r="J413" s="175">
        <f t="shared" si="2"/>
        <v>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3"/>
      <c r="B414" s="175" t="str">
        <f t="shared" si="60"/>
        <v/>
      </c>
      <c r="C414" s="176" t="str">
        <f t="shared" si="51"/>
        <v/>
      </c>
      <c r="D414" s="175">
        <f t="shared" si="26"/>
        <v>12</v>
      </c>
      <c r="E414" s="177"/>
      <c r="F414" s="177" t="str">
        <f>IFERROR(VLOOKUP(E414,Bar!$B:$C,2,0),"")</f>
        <v/>
      </c>
      <c r="G414" s="175"/>
      <c r="H414" s="175">
        <f>IFERROR(IFERROR(VLOOKUP(E414,Bar!$B:$D,3,0),"")*G414,"")</f>
        <v>0</v>
      </c>
      <c r="I414" s="175">
        <f>IFERROR(IFERROR(VLOOKUP(E414,Bar!$B:$H,7,0),"")*G414,"")</f>
        <v>0</v>
      </c>
      <c r="J414" s="175">
        <f t="shared" si="2"/>
        <v>0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3"/>
      <c r="B415" s="175" t="str">
        <f t="shared" si="60"/>
        <v/>
      </c>
      <c r="C415" s="176" t="str">
        <f t="shared" si="51"/>
        <v/>
      </c>
      <c r="D415" s="175">
        <f t="shared" si="26"/>
        <v>12</v>
      </c>
      <c r="E415" s="177"/>
      <c r="F415" s="177" t="str">
        <f>IFERROR(VLOOKUP(E415,Bar!$B:$C,2,0),"")</f>
        <v/>
      </c>
      <c r="G415" s="175"/>
      <c r="H415" s="175">
        <f>IFERROR(IFERROR(VLOOKUP(E415,Bar!$B:$D,3,0),"")*G415,"")</f>
        <v>0</v>
      </c>
      <c r="I415" s="175">
        <f>IFERROR(IFERROR(VLOOKUP(E415,Bar!$B:$H,7,0),"")*G415,"")</f>
        <v>0</v>
      </c>
      <c r="J415" s="175">
        <f t="shared" si="2"/>
        <v>0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3"/>
      <c r="B416" s="175" t="str">
        <f t="shared" si="60"/>
        <v/>
      </c>
      <c r="C416" s="176" t="str">
        <f t="shared" si="51"/>
        <v/>
      </c>
      <c r="D416" s="175">
        <f t="shared" si="26"/>
        <v>12</v>
      </c>
      <c r="E416" s="177"/>
      <c r="F416" s="177" t="str">
        <f>IFERROR(VLOOKUP(E416,Bar!$B:$C,2,0),"")</f>
        <v/>
      </c>
      <c r="G416" s="175"/>
      <c r="H416" s="175">
        <f>IFERROR(IFERROR(VLOOKUP(E416,Bar!$B:$D,3,0),"")*G416,"")</f>
        <v>0</v>
      </c>
      <c r="I416" s="175">
        <f>IFERROR(IFERROR(VLOOKUP(E416,Bar!$B:$H,7,0),"")*G416,"")</f>
        <v>0</v>
      </c>
      <c r="J416" s="175">
        <f t="shared" si="2"/>
        <v>0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3"/>
      <c r="B417" s="175" t="str">
        <f t="shared" si="60"/>
        <v/>
      </c>
      <c r="C417" s="176" t="str">
        <f t="shared" si="51"/>
        <v/>
      </c>
      <c r="D417" s="175">
        <f t="shared" si="26"/>
        <v>12</v>
      </c>
      <c r="E417" s="177"/>
      <c r="F417" s="177" t="str">
        <f>IFERROR(VLOOKUP(E417,Bar!$B:$C,2,0),"")</f>
        <v/>
      </c>
      <c r="G417" s="175"/>
      <c r="H417" s="175">
        <f>IFERROR(IFERROR(VLOOKUP(E417,Bar!$B:$D,3,0),"")*G417,"")</f>
        <v>0</v>
      </c>
      <c r="I417" s="175">
        <f>IFERROR(IFERROR(VLOOKUP(E417,Bar!$B:$H,7,0),"")*G417,"")</f>
        <v>0</v>
      </c>
      <c r="J417" s="175">
        <f t="shared" si="2"/>
        <v>0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3"/>
      <c r="B418" s="175" t="str">
        <f>IF(E418="","",B264+1)</f>
        <v/>
      </c>
      <c r="C418" s="176" t="str">
        <f t="shared" si="51"/>
        <v/>
      </c>
      <c r="D418" s="175">
        <f t="shared" si="26"/>
        <v>12</v>
      </c>
      <c r="E418" s="177"/>
      <c r="F418" s="177" t="str">
        <f>IFERROR(VLOOKUP(E418,Bar!$B:$C,2,0),"")</f>
        <v/>
      </c>
      <c r="G418" s="175"/>
      <c r="H418" s="175">
        <f>IFERROR(IFERROR(VLOOKUP(E418,Bar!$B:$D,3,0),"")*G418,"")</f>
        <v>0</v>
      </c>
      <c r="I418" s="175">
        <f>IFERROR(IFERROR(VLOOKUP(E418,Bar!$B:$H,7,0),"")*G418,"")</f>
        <v>0</v>
      </c>
      <c r="J418" s="175">
        <f t="shared" si="2"/>
        <v>0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3"/>
      <c r="B419" s="175" t="str">
        <f t="shared" ref="B419:B434" si="61">IF(E419="","",B418+1)</f>
        <v/>
      </c>
      <c r="C419" s="176" t="str">
        <f t="shared" si="51"/>
        <v/>
      </c>
      <c r="D419" s="175">
        <f t="shared" si="26"/>
        <v>12</v>
      </c>
      <c r="E419" s="177"/>
      <c r="F419" s="177" t="str">
        <f>IFERROR(VLOOKUP(E419,Bar!$B:$C,2,0),"")</f>
        <v/>
      </c>
      <c r="G419" s="175"/>
      <c r="H419" s="175">
        <f>IFERROR(IFERROR(VLOOKUP(E419,Bar!$B:$D,3,0),"")*G419,"")</f>
        <v>0</v>
      </c>
      <c r="I419" s="175">
        <f>IFERROR(IFERROR(VLOOKUP(E419,Bar!$B:$H,7,0),"")*G419,"")</f>
        <v>0</v>
      </c>
      <c r="J419" s="175">
        <f t="shared" si="2"/>
        <v>0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3"/>
      <c r="B420" s="175" t="str">
        <f t="shared" si="61"/>
        <v/>
      </c>
      <c r="C420" s="176" t="str">
        <f t="shared" si="51"/>
        <v/>
      </c>
      <c r="D420" s="175">
        <f t="shared" si="26"/>
        <v>12</v>
      </c>
      <c r="E420" s="177"/>
      <c r="F420" s="177" t="str">
        <f>IFERROR(VLOOKUP(E420,Bar!$B:$C,2,0),"")</f>
        <v/>
      </c>
      <c r="G420" s="175"/>
      <c r="H420" s="175">
        <f>IFERROR(IFERROR(VLOOKUP(E420,Bar!$B:$D,3,0),"")*G420,"")</f>
        <v>0</v>
      </c>
      <c r="I420" s="175">
        <f>IFERROR(IFERROR(VLOOKUP(E420,Bar!$B:$H,7,0),"")*G420,"")</f>
        <v>0</v>
      </c>
      <c r="J420" s="175">
        <f t="shared" si="2"/>
        <v>0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3"/>
      <c r="B421" s="175" t="str">
        <f t="shared" si="61"/>
        <v/>
      </c>
      <c r="C421" s="176" t="str">
        <f t="shared" si="51"/>
        <v/>
      </c>
      <c r="D421" s="175">
        <f t="shared" si="26"/>
        <v>12</v>
      </c>
      <c r="E421" s="177"/>
      <c r="F421" s="177" t="str">
        <f>IFERROR(VLOOKUP(E421,Bar!$B:$C,2,0),"")</f>
        <v/>
      </c>
      <c r="G421" s="175"/>
      <c r="H421" s="175">
        <f>IFERROR(IFERROR(VLOOKUP(E421,Bar!$B:$D,3,0),"")*G421,"")</f>
        <v>0</v>
      </c>
      <c r="I421" s="175">
        <f>IFERROR(IFERROR(VLOOKUP(E421,Bar!$B:$H,7,0),"")*G421,"")</f>
        <v>0</v>
      </c>
      <c r="J421" s="175">
        <f t="shared" si="2"/>
        <v>0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3"/>
      <c r="B422" s="175" t="str">
        <f t="shared" si="61"/>
        <v/>
      </c>
      <c r="C422" s="176" t="str">
        <f t="shared" si="51"/>
        <v/>
      </c>
      <c r="D422" s="175">
        <f t="shared" si="26"/>
        <v>12</v>
      </c>
      <c r="E422" s="177"/>
      <c r="F422" s="177" t="str">
        <f>IFERROR(VLOOKUP(E422,Bar!$B:$C,2,0),"")</f>
        <v/>
      </c>
      <c r="G422" s="175"/>
      <c r="H422" s="175">
        <f>IFERROR(IFERROR(VLOOKUP(E422,Bar!$B:$D,3,0),"")*G422,"")</f>
        <v>0</v>
      </c>
      <c r="I422" s="175">
        <f>IFERROR(IFERROR(VLOOKUP(E422,Bar!$B:$H,7,0),"")*G422,"")</f>
        <v>0</v>
      </c>
      <c r="J422" s="175">
        <f t="shared" si="2"/>
        <v>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3"/>
      <c r="B423" s="175" t="str">
        <f t="shared" si="61"/>
        <v/>
      </c>
      <c r="C423" s="176" t="str">
        <f t="shared" si="51"/>
        <v/>
      </c>
      <c r="D423" s="175">
        <f t="shared" si="26"/>
        <v>12</v>
      </c>
      <c r="E423" s="177"/>
      <c r="F423" s="177" t="str">
        <f>IFERROR(VLOOKUP(E423,Bar!$B:$C,2,0),"")</f>
        <v/>
      </c>
      <c r="G423" s="175"/>
      <c r="H423" s="175">
        <f>IFERROR(IFERROR(VLOOKUP(E423,Bar!$B:$D,3,0),"")*G423,"")</f>
        <v>0</v>
      </c>
      <c r="I423" s="175">
        <f>IFERROR(IFERROR(VLOOKUP(E423,Bar!$B:$H,7,0),"")*G423,"")</f>
        <v>0</v>
      </c>
      <c r="J423" s="175">
        <f t="shared" si="2"/>
        <v>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3"/>
      <c r="B424" s="175" t="str">
        <f t="shared" si="61"/>
        <v/>
      </c>
      <c r="C424" s="176" t="str">
        <f t="shared" si="51"/>
        <v/>
      </c>
      <c r="D424" s="175">
        <f t="shared" si="26"/>
        <v>12</v>
      </c>
      <c r="E424" s="177"/>
      <c r="F424" s="177" t="str">
        <f>IFERROR(VLOOKUP(E424,Bar!$B:$C,2,0),"")</f>
        <v/>
      </c>
      <c r="G424" s="175"/>
      <c r="H424" s="175">
        <f>IFERROR(IFERROR(VLOOKUP(E424,Bar!$B:$D,3,0),"")*G424,"")</f>
        <v>0</v>
      </c>
      <c r="I424" s="175">
        <f>IFERROR(IFERROR(VLOOKUP(E424,Bar!$B:$H,7,0),"")*G424,"")</f>
        <v>0</v>
      </c>
      <c r="J424" s="175">
        <f t="shared" si="2"/>
        <v>0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3"/>
      <c r="B425" s="175" t="str">
        <f t="shared" si="61"/>
        <v/>
      </c>
      <c r="C425" s="176" t="str">
        <f t="shared" si="51"/>
        <v/>
      </c>
      <c r="D425" s="175">
        <f t="shared" si="26"/>
        <v>12</v>
      </c>
      <c r="E425" s="177"/>
      <c r="F425" s="177" t="str">
        <f>IFERROR(VLOOKUP(E425,Bar!$B:$C,2,0),"")</f>
        <v/>
      </c>
      <c r="G425" s="175"/>
      <c r="H425" s="175">
        <f>IFERROR(IFERROR(VLOOKUP(E425,Bar!$B:$D,3,0),"")*G425,"")</f>
        <v>0</v>
      </c>
      <c r="I425" s="175">
        <f>IFERROR(IFERROR(VLOOKUP(E425,Bar!$B:$H,7,0),"")*G425,"")</f>
        <v>0</v>
      </c>
      <c r="J425" s="175">
        <f t="shared" si="2"/>
        <v>0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3"/>
      <c r="B426" s="175" t="str">
        <f t="shared" si="61"/>
        <v/>
      </c>
      <c r="C426" s="176" t="str">
        <f t="shared" si="51"/>
        <v/>
      </c>
      <c r="D426" s="175">
        <f t="shared" si="26"/>
        <v>12</v>
      </c>
      <c r="E426" s="177"/>
      <c r="F426" s="177" t="str">
        <f>IFERROR(VLOOKUP(E426,Bar!$B:$C,2,0),"")</f>
        <v/>
      </c>
      <c r="G426" s="175"/>
      <c r="H426" s="175">
        <f>IFERROR(IFERROR(VLOOKUP(E426,Bar!$B:$D,3,0),"")*G426,"")</f>
        <v>0</v>
      </c>
      <c r="I426" s="175">
        <f>IFERROR(IFERROR(VLOOKUP(E426,Bar!$B:$H,7,0),"")*G426,"")</f>
        <v>0</v>
      </c>
      <c r="J426" s="175">
        <f t="shared" si="2"/>
        <v>0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3"/>
      <c r="B427" s="175" t="str">
        <f t="shared" si="61"/>
        <v/>
      </c>
      <c r="C427" s="176" t="str">
        <f t="shared" si="51"/>
        <v/>
      </c>
      <c r="D427" s="175">
        <f t="shared" si="26"/>
        <v>12</v>
      </c>
      <c r="E427" s="177"/>
      <c r="F427" s="177" t="str">
        <f>IFERROR(VLOOKUP(E427,Bar!$B:$C,2,0),"")</f>
        <v/>
      </c>
      <c r="G427" s="175"/>
      <c r="H427" s="175">
        <f>IFERROR(IFERROR(VLOOKUP(E427,Bar!$B:$D,3,0),"")*G427,"")</f>
        <v>0</v>
      </c>
      <c r="I427" s="175">
        <f>IFERROR(IFERROR(VLOOKUP(E427,Bar!$B:$H,7,0),"")*G427,"")</f>
        <v>0</v>
      </c>
      <c r="J427" s="175">
        <f t="shared" si="2"/>
        <v>0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3"/>
      <c r="B428" s="175" t="str">
        <f t="shared" si="61"/>
        <v/>
      </c>
      <c r="C428" s="176" t="str">
        <f t="shared" si="51"/>
        <v/>
      </c>
      <c r="D428" s="175">
        <f t="shared" si="26"/>
        <v>12</v>
      </c>
      <c r="E428" s="177"/>
      <c r="F428" s="177" t="str">
        <f>IFERROR(VLOOKUP(E428,Bar!$B:$C,2,0),"")</f>
        <v/>
      </c>
      <c r="G428" s="175"/>
      <c r="H428" s="175">
        <f>IFERROR(IFERROR(VLOOKUP(E428,Bar!$B:$D,3,0),"")*G428,"")</f>
        <v>0</v>
      </c>
      <c r="I428" s="175">
        <f>IFERROR(IFERROR(VLOOKUP(E428,Bar!$B:$H,7,0),"")*G428,"")</f>
        <v>0</v>
      </c>
      <c r="J428" s="175">
        <f t="shared" si="2"/>
        <v>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3"/>
      <c r="B429" s="175" t="str">
        <f t="shared" si="61"/>
        <v/>
      </c>
      <c r="C429" s="176" t="str">
        <f t="shared" si="51"/>
        <v/>
      </c>
      <c r="D429" s="175">
        <f t="shared" si="26"/>
        <v>12</v>
      </c>
      <c r="E429" s="177"/>
      <c r="F429" s="177" t="str">
        <f>IFERROR(VLOOKUP(E429,Bar!$B:$C,2,0),"")</f>
        <v/>
      </c>
      <c r="G429" s="175"/>
      <c r="H429" s="175">
        <f>IFERROR(IFERROR(VLOOKUP(E429,Bar!$B:$D,3,0),"")*G429,"")</f>
        <v>0</v>
      </c>
      <c r="I429" s="175">
        <f>IFERROR(IFERROR(VLOOKUP(E429,Bar!$B:$H,7,0),"")*G429,"")</f>
        <v>0</v>
      </c>
      <c r="J429" s="175">
        <f t="shared" si="2"/>
        <v>0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3"/>
      <c r="B430" s="175" t="str">
        <f t="shared" si="61"/>
        <v/>
      </c>
      <c r="C430" s="176" t="str">
        <f t="shared" si="51"/>
        <v/>
      </c>
      <c r="D430" s="175">
        <f t="shared" si="26"/>
        <v>12</v>
      </c>
      <c r="E430" s="177"/>
      <c r="F430" s="177" t="str">
        <f>IFERROR(VLOOKUP(E430,Bar!$B:$C,2,0),"")</f>
        <v/>
      </c>
      <c r="G430" s="175"/>
      <c r="H430" s="175">
        <f>IFERROR(IFERROR(VLOOKUP(E430,Bar!$B:$D,3,0),"")*G430,"")</f>
        <v>0</v>
      </c>
      <c r="I430" s="175">
        <f>IFERROR(IFERROR(VLOOKUP(E430,Bar!$B:$H,7,0),"")*G430,"")</f>
        <v>0</v>
      </c>
      <c r="J430" s="175">
        <f t="shared" si="2"/>
        <v>0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3"/>
      <c r="B431" s="175" t="str">
        <f t="shared" si="61"/>
        <v/>
      </c>
      <c r="C431" s="176" t="str">
        <f t="shared" si="51"/>
        <v/>
      </c>
      <c r="D431" s="175">
        <f t="shared" si="26"/>
        <v>12</v>
      </c>
      <c r="E431" s="177"/>
      <c r="F431" s="177" t="str">
        <f>IFERROR(VLOOKUP(E431,Bar!$B:$C,2,0),"")</f>
        <v/>
      </c>
      <c r="G431" s="175"/>
      <c r="H431" s="175">
        <f>IFERROR(IFERROR(VLOOKUP(E431,Bar!$B:$D,3,0),"")*G431,"")</f>
        <v>0</v>
      </c>
      <c r="I431" s="175">
        <f>IFERROR(IFERROR(VLOOKUP(E431,Bar!$B:$H,7,0),"")*G431,"")</f>
        <v>0</v>
      </c>
      <c r="J431" s="175">
        <f t="shared" si="2"/>
        <v>0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3"/>
      <c r="B432" s="175" t="str">
        <f t="shared" si="61"/>
        <v/>
      </c>
      <c r="C432" s="176" t="str">
        <f t="shared" si="51"/>
        <v/>
      </c>
      <c r="D432" s="175">
        <f t="shared" si="26"/>
        <v>12</v>
      </c>
      <c r="E432" s="177"/>
      <c r="F432" s="177" t="str">
        <f>IFERROR(VLOOKUP(E432,Bar!$B:$C,2,0),"")</f>
        <v/>
      </c>
      <c r="G432" s="175"/>
      <c r="H432" s="175">
        <f>IFERROR(IFERROR(VLOOKUP(E432,Bar!$B:$D,3,0),"")*G432,"")</f>
        <v>0</v>
      </c>
      <c r="I432" s="175">
        <f>IFERROR(IFERROR(VLOOKUP(E432,Bar!$B:$H,7,0),"")*G432,"")</f>
        <v>0</v>
      </c>
      <c r="J432" s="175">
        <f t="shared" si="2"/>
        <v>0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3"/>
      <c r="B433" s="175" t="str">
        <f t="shared" si="61"/>
        <v/>
      </c>
      <c r="C433" s="176" t="str">
        <f t="shared" si="51"/>
        <v/>
      </c>
      <c r="D433" s="175">
        <f t="shared" si="26"/>
        <v>12</v>
      </c>
      <c r="E433" s="177"/>
      <c r="F433" s="177" t="str">
        <f>IFERROR(VLOOKUP(E433,Bar!$B:$C,2,0),"")</f>
        <v/>
      </c>
      <c r="G433" s="175"/>
      <c r="H433" s="175">
        <f>IFERROR(IFERROR(VLOOKUP(E433,Bar!$B:$D,3,0),"")*G433,"")</f>
        <v>0</v>
      </c>
      <c r="I433" s="175">
        <f>IFERROR(IFERROR(VLOOKUP(E433,Bar!$B:$H,7,0),"")*G433,"")</f>
        <v>0</v>
      </c>
      <c r="J433" s="175">
        <f t="shared" si="2"/>
        <v>0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3"/>
      <c r="B434" s="175" t="str">
        <f t="shared" si="61"/>
        <v/>
      </c>
      <c r="C434" s="176" t="str">
        <f t="shared" si="51"/>
        <v/>
      </c>
      <c r="D434" s="175">
        <f t="shared" si="26"/>
        <v>12</v>
      </c>
      <c r="E434" s="177"/>
      <c r="F434" s="177" t="str">
        <f>IFERROR(VLOOKUP(E434,Bar!$B:$C,2,0),"")</f>
        <v/>
      </c>
      <c r="G434" s="175"/>
      <c r="H434" s="175">
        <f>IFERROR(IFERROR(VLOOKUP(E434,Bar!$B:$D,3,0),"")*G434,"")</f>
        <v>0</v>
      </c>
      <c r="I434" s="175">
        <f>IFERROR(IFERROR(VLOOKUP(E434,Bar!$B:$H,7,0),"")*G434,"")</f>
        <v>0</v>
      </c>
      <c r="J434" s="175">
        <f t="shared" si="2"/>
        <v>0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3"/>
      <c r="B435" s="184"/>
      <c r="C435" s="185"/>
      <c r="D435" s="184"/>
      <c r="E435" s="186"/>
      <c r="F435" s="186"/>
      <c r="G435" s="184"/>
      <c r="H435" s="184"/>
      <c r="I435" s="184"/>
      <c r="J435" s="18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B633" s="2"/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2.75" customHeight="1">
      <c r="A1" s="36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36"/>
      <c r="B3" s="37"/>
      <c r="C3" s="152">
        <f t="shared" ref="C3:F3" si="1">SUM(C6:C17)</f>
        <v>27</v>
      </c>
      <c r="D3" s="152">
        <f t="shared" si="1"/>
        <v>1036250</v>
      </c>
      <c r="E3" s="152">
        <f t="shared" si="1"/>
        <v>332809.9</v>
      </c>
      <c r="F3" s="152">
        <f t="shared" si="1"/>
        <v>703440.1</v>
      </c>
      <c r="G3" s="188">
        <f>IFERROR(F3/D3,0)</f>
        <v>0.6788324246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75" customHeight="1">
      <c r="A5" s="39"/>
      <c r="B5" s="189" t="s">
        <v>3</v>
      </c>
      <c r="C5" s="189" t="s">
        <v>789</v>
      </c>
      <c r="D5" s="189" t="s">
        <v>382</v>
      </c>
      <c r="E5" s="189" t="s">
        <v>359</v>
      </c>
      <c r="F5" s="189" t="s">
        <v>383</v>
      </c>
      <c r="G5" s="189" t="s">
        <v>790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37"/>
      <c r="B6" s="47">
        <v>1.0</v>
      </c>
      <c r="C6" s="47">
        <f>IFERROR(SUMIF('Ventas Bar'!D:D,'Rendimiento mensual'!B6,'Ventas Bar'!D:D)/COUNTIF('Ventas Bar'!D:D,'Rendimiento mensual'!B6),0)</f>
        <v>0</v>
      </c>
      <c r="D6" s="47">
        <f>SUMIF('Ventas Bar'!$D:$D,'Rendimiento mensual'!B6,'Ventas Bar'!I:I)</f>
        <v>0</v>
      </c>
      <c r="E6" s="47">
        <f>SUMIF('Pedidos insumos'!$D:$D,'Rendimiento mensual'!B6,'Pedidos insumos'!E:E)</f>
        <v>0</v>
      </c>
      <c r="F6" s="47">
        <f t="shared" ref="F6:F17" si="2">D6-E6</f>
        <v>0</v>
      </c>
      <c r="G6" s="49">
        <f t="shared" ref="G6:G17" si="3">IFERROR(F6/D6,0)</f>
        <v>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75" customHeight="1">
      <c r="A7" s="37"/>
      <c r="B7" s="47">
        <f t="shared" ref="B7:B17" si="4">B6+1</f>
        <v>2</v>
      </c>
      <c r="C7" s="47">
        <f>IFERROR(SUMIF('Ventas Bar'!D:D,'Rendimiento mensual'!B7,'Ventas Bar'!D:D)/COUNTIF('Ventas Bar'!D:D,'Rendimiento mensual'!B7),0)</f>
        <v>0</v>
      </c>
      <c r="D7" s="47">
        <f>SUMIF('Ventas Bar'!$D:$D,'Rendimiento mensual'!B7,'Ventas Bar'!I:I)</f>
        <v>0</v>
      </c>
      <c r="E7" s="47">
        <f>SUMIF('Pedidos insumos'!$D:$D,'Rendimiento mensual'!B7,'Pedidos insumos'!E:E)</f>
        <v>0</v>
      </c>
      <c r="F7" s="47">
        <f t="shared" si="2"/>
        <v>0</v>
      </c>
      <c r="G7" s="49">
        <f t="shared" si="3"/>
        <v>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75" customHeight="1">
      <c r="A8" s="37"/>
      <c r="B8" s="47">
        <f t="shared" si="4"/>
        <v>3</v>
      </c>
      <c r="C8" s="47">
        <v>5.0</v>
      </c>
      <c r="D8" s="47">
        <f>SUMIF('Ventas Bar'!$D:$D,'Rendimiento mensual'!B8,'Ventas Bar'!I:I)</f>
        <v>141960</v>
      </c>
      <c r="E8" s="47">
        <f>SUMIF('Pedidos insumos'!$D:$D,'Rendimiento mensual'!B8,'Pedidos insumos'!E:E)</f>
        <v>31969</v>
      </c>
      <c r="F8" s="47">
        <f t="shared" si="2"/>
        <v>109991</v>
      </c>
      <c r="G8" s="49">
        <f t="shared" si="3"/>
        <v>0.7748027613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2.75" customHeight="1">
      <c r="A9" s="37"/>
      <c r="B9" s="47">
        <f t="shared" si="4"/>
        <v>4</v>
      </c>
      <c r="C9" s="47">
        <v>3.0</v>
      </c>
      <c r="D9" s="47">
        <f>SUMIF('Ventas Bar'!$D:$D,'Rendimiento mensual'!B9,'Ventas Bar'!I:I)</f>
        <v>82320</v>
      </c>
      <c r="E9" s="47">
        <f>SUMIF('Pedidos insumos'!$D:$D,'Rendimiento mensual'!B9,'Pedidos insumos'!E:E)</f>
        <v>23123.15</v>
      </c>
      <c r="F9" s="47">
        <f t="shared" si="2"/>
        <v>59196.85</v>
      </c>
      <c r="G9" s="49">
        <f t="shared" si="3"/>
        <v>0.7191065355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2.75" customHeight="1">
      <c r="A10" s="37"/>
      <c r="B10" s="47">
        <f t="shared" si="4"/>
        <v>5</v>
      </c>
      <c r="C10" s="47">
        <v>4.0</v>
      </c>
      <c r="D10" s="47">
        <f>SUMIF('Ventas Bar'!$D:$D,'Rendimiento mensual'!B10,'Ventas Bar'!I:I)</f>
        <v>112580</v>
      </c>
      <c r="E10" s="47">
        <f>SUMIF('Pedidos insumos'!$D:$D,'Rendimiento mensual'!B10,'Pedidos insumos'!E:E)</f>
        <v>35088</v>
      </c>
      <c r="F10" s="47">
        <f t="shared" si="2"/>
        <v>77492</v>
      </c>
      <c r="G10" s="49">
        <f t="shared" si="3"/>
        <v>0.6883282999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2.75" customHeight="1">
      <c r="A11" s="37"/>
      <c r="B11" s="47">
        <f t="shared" si="4"/>
        <v>6</v>
      </c>
      <c r="C11" s="47">
        <v>5.0</v>
      </c>
      <c r="D11" s="47">
        <f>SUMIF('Ventas Bar'!$D:$D,'Rendimiento mensual'!B11,'Ventas Bar'!I:I)</f>
        <v>43250</v>
      </c>
      <c r="E11" s="47">
        <f>SUMIF('Pedidos insumos'!$D:$D,'Rendimiento mensual'!B11,'Pedidos insumos'!E:E)</f>
        <v>27200</v>
      </c>
      <c r="F11" s="47">
        <f t="shared" si="2"/>
        <v>16050</v>
      </c>
      <c r="G11" s="49">
        <f t="shared" si="3"/>
        <v>0.3710982659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2.75" customHeight="1">
      <c r="A12" s="37"/>
      <c r="B12" s="47">
        <f t="shared" si="4"/>
        <v>7</v>
      </c>
      <c r="C12" s="47">
        <v>10.0</v>
      </c>
      <c r="D12" s="47">
        <f>SUMIF('Ventas Bar'!$D:$D,'Rendimiento mensual'!B12,'Ventas Bar'!I:I)+SUMIFS('Vituca Cakes'!L:L,'Vituca Cakes'!$E:$E,'Rendimiento mensual'!B12,'Vituca Cakes'!$D:$D,2022)</f>
        <v>268490</v>
      </c>
      <c r="E12" s="47">
        <f>SUMIF('Pedidos insumos'!$D:$D,'Rendimiento mensual'!B12,'Pedidos insumos'!E:E)</f>
        <v>104789.75</v>
      </c>
      <c r="F12" s="47">
        <f t="shared" si="2"/>
        <v>163700.25</v>
      </c>
      <c r="G12" s="49">
        <f t="shared" si="3"/>
        <v>0.6097070654</v>
      </c>
      <c r="H12" s="161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75" customHeight="1">
      <c r="A13" s="37"/>
      <c r="B13" s="47">
        <f t="shared" si="4"/>
        <v>8</v>
      </c>
      <c r="C13" s="47">
        <v>0.0</v>
      </c>
      <c r="D13" s="47">
        <f>SUMIF('Ventas Bar'!$D:$D,'Rendimiento mensual'!B13,'Ventas Bar'!I:I)+SUMIFS('Vituca Cakes'!L:L,'Vituca Cakes'!$E:$E,'Rendimiento mensual'!B13,'Vituca Cakes'!$D:$D,2022)</f>
        <v>214690</v>
      </c>
      <c r="E13" s="47">
        <f>SUMIF('Pedidos insumos'!$D:$D,'Rendimiento mensual'!B13,'Pedidos insumos'!E:E)</f>
        <v>37700</v>
      </c>
      <c r="F13" s="47">
        <f t="shared" si="2"/>
        <v>176990</v>
      </c>
      <c r="G13" s="49">
        <f t="shared" si="3"/>
        <v>0.8243979692</v>
      </c>
      <c r="H13" s="37"/>
      <c r="I13" s="161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2.75" customHeight="1">
      <c r="A14" s="37"/>
      <c r="B14" s="47">
        <f t="shared" si="4"/>
        <v>9</v>
      </c>
      <c r="C14" s="47">
        <v>0.0</v>
      </c>
      <c r="D14" s="47">
        <f>SUMIF('Ventas Bar'!$D:$D,'Rendimiento mensual'!B14,'Ventas Bar'!I:I)+SUMIFS('Vituca Cakes'!L:L,'Vituca Cakes'!$E:$E,'Rendimiento mensual'!B14,'Vituca Cakes'!$D:$D,2022)</f>
        <v>164660</v>
      </c>
      <c r="E14" s="47">
        <f>SUMIF('Pedidos insumos'!$D:$D,'Rendimiento mensual'!B14,'Pedidos insumos'!E:E)</f>
        <v>72940</v>
      </c>
      <c r="F14" s="47">
        <f t="shared" si="2"/>
        <v>91720</v>
      </c>
      <c r="G14" s="49">
        <f t="shared" si="3"/>
        <v>0.5570266003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2.75" customHeight="1">
      <c r="A15" s="37"/>
      <c r="B15" s="47">
        <f t="shared" si="4"/>
        <v>10</v>
      </c>
      <c r="C15" s="47">
        <v>0.0</v>
      </c>
      <c r="D15" s="47">
        <f>SUMIF('Ventas Bar'!$D:$D,'Rendimiento mensual'!B15,'Ventas Bar'!I:I)+SUMIFS('Vituca Cakes'!L:L,'Vituca Cakes'!$E:$E,'Rendimiento mensual'!B15,'Vituca Cakes'!$D:$D,2022)</f>
        <v>8300</v>
      </c>
      <c r="E15" s="47">
        <f>SUMIF('Pedidos insumos'!$D:$D,'Rendimiento mensual'!B15,'Pedidos insumos'!E:E)</f>
        <v>0</v>
      </c>
      <c r="F15" s="47">
        <f t="shared" si="2"/>
        <v>8300</v>
      </c>
      <c r="G15" s="49">
        <f t="shared" si="3"/>
        <v>1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2.75" customHeight="1">
      <c r="A16" s="37"/>
      <c r="B16" s="47">
        <f t="shared" si="4"/>
        <v>11</v>
      </c>
      <c r="C16" s="47">
        <v>0.0</v>
      </c>
      <c r="D16" s="47">
        <f>SUMIF('Ventas Bar'!$D:$D,'Rendimiento mensual'!B16,'Ventas Bar'!I:I)+SUMIFS('Vituca Cakes'!L:L,'Vituca Cakes'!$E:$E,'Rendimiento mensual'!B16,'Vituca Cakes'!$D:$D,2022)</f>
        <v>0</v>
      </c>
      <c r="E16" s="47">
        <f>SUMIF('Pedidos insumos'!$D:$D,'Rendimiento mensual'!B16,'Pedidos insumos'!E:E)</f>
        <v>0</v>
      </c>
      <c r="F16" s="47">
        <f t="shared" si="2"/>
        <v>0</v>
      </c>
      <c r="G16" s="49">
        <f t="shared" si="3"/>
        <v>0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75" customHeight="1">
      <c r="A17" s="37"/>
      <c r="B17" s="52">
        <f t="shared" si="4"/>
        <v>12</v>
      </c>
      <c r="C17" s="52">
        <v>0.0</v>
      </c>
      <c r="D17" s="52">
        <f>SUMIF('Ventas Bar'!$D:$D,'Rendimiento mensual'!B17,'Ventas Bar'!I:I)+SUMIFS('Vituca Cakes'!L:L,'Vituca Cakes'!$E:$E,'Rendimiento mensual'!B17,'Vituca Cakes'!$D:$D,2022)</f>
        <v>0</v>
      </c>
      <c r="E17" s="52">
        <f>SUMIF('Pedidos insumos'!$D:$D,'Rendimiento mensual'!B17,'Pedidos insumos'!E:E)</f>
        <v>0</v>
      </c>
      <c r="F17" s="52">
        <f t="shared" si="2"/>
        <v>0</v>
      </c>
      <c r="G17" s="54">
        <f t="shared" si="3"/>
        <v>0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37"/>
      <c r="B20" s="37" t="s">
        <v>791</v>
      </c>
      <c r="C20" s="161"/>
      <c r="D20" s="161">
        <f>D3/MAX('Ventas Bar'!$B:$B)</f>
        <v>18840.90909</v>
      </c>
      <c r="E20" s="161">
        <f>E3/MAX('Ventas Bar'!$B:$B)</f>
        <v>6051.089091</v>
      </c>
      <c r="F20" s="161">
        <f>F3/MAX('Ventas Bar'!$B:$B)</f>
        <v>12789.82</v>
      </c>
      <c r="G20" s="160">
        <f>IFERROR(F20/D20,0)</f>
        <v>0.6788324246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75" customHeight="1">
      <c r="A21" s="37"/>
      <c r="B21" s="37"/>
      <c r="C21" s="37"/>
      <c r="D21" s="161"/>
      <c r="E21" s="161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75" customHeight="1">
      <c r="A22" s="37"/>
      <c r="B22" s="37"/>
      <c r="C22" s="37"/>
      <c r="D22" s="161"/>
      <c r="E22" s="161"/>
      <c r="F22" s="161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37"/>
      <c r="C26" s="37"/>
      <c r="D26" s="161"/>
      <c r="E26" s="161"/>
      <c r="F26" s="161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37"/>
      <c r="C27" s="37"/>
      <c r="D27" s="161"/>
      <c r="E27" s="161"/>
      <c r="F27" s="161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4" width="9.13"/>
    <col customWidth="1" min="5" max="25" width="8.63"/>
  </cols>
  <sheetData>
    <row r="1" ht="12.75" customHeight="1">
      <c r="A1" s="36"/>
      <c r="B1" s="36"/>
      <c r="C1" s="36"/>
      <c r="D1" s="36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12.75" customHeight="1">
      <c r="A2" s="36"/>
      <c r="B2" s="36"/>
      <c r="C2" s="36"/>
      <c r="D2" s="36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ht="12.75" customHeight="1">
      <c r="A3" s="190"/>
      <c r="B3" s="189" t="s">
        <v>560</v>
      </c>
      <c r="C3" s="189" t="s">
        <v>1</v>
      </c>
      <c r="D3" s="189" t="s">
        <v>3</v>
      </c>
      <c r="E3" s="189" t="s">
        <v>792</v>
      </c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</row>
    <row r="4" ht="12.75" customHeight="1">
      <c r="A4" s="39"/>
      <c r="B4" s="47">
        <v>1.0</v>
      </c>
      <c r="C4" s="192">
        <v>44635.0</v>
      </c>
      <c r="D4" s="47">
        <f t="shared" ref="D4:D13" si="1">IF(IFERROR(MONTH(C4),"")=1,"",IFERROR(MONTH(C4),""))</f>
        <v>3</v>
      </c>
      <c r="E4" s="47">
        <v>11000.0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ht="12.75" customHeight="1">
      <c r="A5" s="37"/>
      <c r="B5" s="47">
        <f t="shared" ref="B5:B103" si="2">B4+1</f>
        <v>2</v>
      </c>
      <c r="C5" s="192">
        <v>44635.0</v>
      </c>
      <c r="D5" s="47">
        <f t="shared" si="1"/>
        <v>3</v>
      </c>
      <c r="E5" s="47">
        <v>11000.0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ht="12.75" customHeight="1">
      <c r="A6" s="37"/>
      <c r="B6" s="47">
        <f t="shared" si="2"/>
        <v>3</v>
      </c>
      <c r="C6" s="192">
        <v>44649.0</v>
      </c>
      <c r="D6" s="47">
        <f t="shared" si="1"/>
        <v>3</v>
      </c>
      <c r="E6" s="47">
        <v>9969.0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ht="12.75" customHeight="1">
      <c r="A7" s="37"/>
      <c r="B7" s="47">
        <f t="shared" si="2"/>
        <v>4</v>
      </c>
      <c r="C7" s="192">
        <v>44652.0</v>
      </c>
      <c r="D7" s="47">
        <f t="shared" si="1"/>
        <v>4</v>
      </c>
      <c r="E7" s="47">
        <f>4222.15+1350+1850+1685</f>
        <v>9107.15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ht="12.75" customHeight="1">
      <c r="A8" s="37"/>
      <c r="B8" s="47">
        <f t="shared" si="2"/>
        <v>5</v>
      </c>
      <c r="C8" s="192">
        <v>44669.0</v>
      </c>
      <c r="D8" s="47">
        <f t="shared" si="1"/>
        <v>4</v>
      </c>
      <c r="E8" s="47">
        <v>14016.0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ht="12.75" customHeight="1">
      <c r="A9" s="37"/>
      <c r="B9" s="47">
        <f t="shared" si="2"/>
        <v>6</v>
      </c>
      <c r="C9" s="192">
        <v>44685.0</v>
      </c>
      <c r="D9" s="47">
        <f t="shared" si="1"/>
        <v>5</v>
      </c>
      <c r="E9" s="47">
        <v>14738.0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ht="12.75" customHeight="1">
      <c r="A10" s="37"/>
      <c r="B10" s="47">
        <f t="shared" si="2"/>
        <v>7</v>
      </c>
      <c r="C10" s="192">
        <v>44697.0</v>
      </c>
      <c r="D10" s="47">
        <f t="shared" si="1"/>
        <v>5</v>
      </c>
      <c r="E10" s="47">
        <v>20350.0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ht="12.75" customHeight="1">
      <c r="A11" s="37"/>
      <c r="B11" s="47">
        <f t="shared" si="2"/>
        <v>8</v>
      </c>
      <c r="C11" s="192">
        <v>44713.0</v>
      </c>
      <c r="D11" s="47">
        <f t="shared" si="1"/>
        <v>6</v>
      </c>
      <c r="E11" s="47">
        <v>27200.0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ht="12.75" customHeight="1">
      <c r="A12" s="37"/>
      <c r="B12" s="47">
        <f t="shared" si="2"/>
        <v>9</v>
      </c>
      <c r="C12" s="192">
        <v>44748.0</v>
      </c>
      <c r="D12" s="47">
        <f t="shared" si="1"/>
        <v>7</v>
      </c>
      <c r="E12" s="47">
        <v>21880.0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ht="12.75" customHeight="1">
      <c r="A13" s="37"/>
      <c r="B13" s="47">
        <f t="shared" si="2"/>
        <v>10</v>
      </c>
      <c r="C13" s="192">
        <v>44762.0</v>
      </c>
      <c r="D13" s="47">
        <f t="shared" si="1"/>
        <v>7</v>
      </c>
      <c r="E13" s="47">
        <v>21460.0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ht="12.75" customHeight="1">
      <c r="A14" s="37"/>
      <c r="B14" s="47">
        <f t="shared" si="2"/>
        <v>11</v>
      </c>
      <c r="C14" s="192">
        <v>44762.0</v>
      </c>
      <c r="D14" s="47">
        <v>7.0</v>
      </c>
      <c r="E14" s="47">
        <v>300.0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ht="12.75" customHeight="1">
      <c r="A15" s="37"/>
      <c r="B15" s="47">
        <f t="shared" si="2"/>
        <v>12</v>
      </c>
      <c r="C15" s="193">
        <v>44762.0</v>
      </c>
      <c r="D15" s="47">
        <v>7.0</v>
      </c>
      <c r="E15" s="47">
        <v>3270.0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ht="12.75" customHeight="1">
      <c r="A16" s="37"/>
      <c r="B16" s="47">
        <f t="shared" si="2"/>
        <v>13</v>
      </c>
      <c r="C16" s="192">
        <v>44762.0</v>
      </c>
      <c r="D16" s="47">
        <f t="shared" ref="D16:D17" si="3">IF(IFERROR(MONTH(C16),"")=1,"",IFERROR(MONTH(C16),""))</f>
        <v>7</v>
      </c>
      <c r="E16" s="47">
        <v>790.0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ht="12.75" customHeight="1">
      <c r="A17" s="37"/>
      <c r="B17" s="47">
        <f t="shared" si="2"/>
        <v>14</v>
      </c>
      <c r="C17" s="192">
        <v>44762.0</v>
      </c>
      <c r="D17" s="47">
        <f t="shared" si="3"/>
        <v>7</v>
      </c>
      <c r="E17" s="47">
        <v>1510.0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ht="12.75" customHeight="1">
      <c r="A18" s="37"/>
      <c r="B18" s="47">
        <f t="shared" si="2"/>
        <v>15</v>
      </c>
      <c r="C18" s="192">
        <v>44762.0</v>
      </c>
      <c r="D18" s="47">
        <v>7.0</v>
      </c>
      <c r="E18" s="47">
        <v>93.0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ht="12.75" customHeight="1">
      <c r="A19" s="37"/>
      <c r="B19" s="47">
        <f t="shared" si="2"/>
        <v>16</v>
      </c>
      <c r="C19" s="192">
        <v>44762.0</v>
      </c>
      <c r="D19" s="47">
        <f t="shared" ref="D19:D103" si="4">IF(IFERROR(MONTH(C19),"")=1,"",IFERROR(MONTH(C19),""))</f>
        <v>7</v>
      </c>
      <c r="E19" s="47">
        <v>350.0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ht="12.75" customHeight="1">
      <c r="A20" s="37"/>
      <c r="B20" s="47">
        <f t="shared" si="2"/>
        <v>17</v>
      </c>
      <c r="C20" s="192">
        <v>44762.0</v>
      </c>
      <c r="D20" s="47">
        <f t="shared" si="4"/>
        <v>7</v>
      </c>
      <c r="E20" s="47">
        <v>830.0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ht="12.75" customHeight="1">
      <c r="A21" s="37"/>
      <c r="B21" s="47">
        <f t="shared" si="2"/>
        <v>18</v>
      </c>
      <c r="C21" s="192">
        <v>44764.0</v>
      </c>
      <c r="D21" s="47">
        <f t="shared" si="4"/>
        <v>7</v>
      </c>
      <c r="E21" s="47">
        <v>6110.0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ht="12.75" customHeight="1">
      <c r="A22" s="37"/>
      <c r="B22" s="47">
        <f t="shared" si="2"/>
        <v>19</v>
      </c>
      <c r="C22" s="192">
        <v>44767.0</v>
      </c>
      <c r="D22" s="47">
        <f t="shared" si="4"/>
        <v>7</v>
      </c>
      <c r="E22" s="47">
        <f>45200</f>
        <v>45200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ht="12.75" customHeight="1">
      <c r="A23" s="37"/>
      <c r="B23" s="47">
        <f t="shared" si="2"/>
        <v>20</v>
      </c>
      <c r="C23" s="192">
        <v>44767.0</v>
      </c>
      <c r="D23" s="47">
        <f t="shared" si="4"/>
        <v>7</v>
      </c>
      <c r="E23" s="47">
        <v>1946.75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ht="12.75" customHeight="1">
      <c r="A24" s="37"/>
      <c r="B24" s="47">
        <f t="shared" si="2"/>
        <v>21</v>
      </c>
      <c r="C24" s="192">
        <v>44767.0</v>
      </c>
      <c r="D24" s="47">
        <f t="shared" si="4"/>
        <v>7</v>
      </c>
      <c r="E24" s="47">
        <v>1050.0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ht="12.75" customHeight="1">
      <c r="A25" s="37"/>
      <c r="B25" s="47">
        <f t="shared" si="2"/>
        <v>22</v>
      </c>
      <c r="C25" s="192">
        <v>44790.0</v>
      </c>
      <c r="D25" s="47">
        <f t="shared" si="4"/>
        <v>8</v>
      </c>
      <c r="E25" s="47">
        <v>27350.0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ht="12.75" customHeight="1">
      <c r="A26" s="37"/>
      <c r="B26" s="47">
        <f t="shared" si="2"/>
        <v>23</v>
      </c>
      <c r="C26" s="192">
        <v>44790.0</v>
      </c>
      <c r="D26" s="47">
        <f t="shared" si="4"/>
        <v>8</v>
      </c>
      <c r="E26" s="47">
        <f>550*2</f>
        <v>1100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ht="12.75" customHeight="1">
      <c r="A27" s="37"/>
      <c r="B27" s="47">
        <f t="shared" si="2"/>
        <v>24</v>
      </c>
      <c r="C27" s="192">
        <v>44790.0</v>
      </c>
      <c r="D27" s="47">
        <f t="shared" si="4"/>
        <v>8</v>
      </c>
      <c r="E27" s="47">
        <v>2750.0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ht="12.75" customHeight="1">
      <c r="A28" s="37"/>
      <c r="B28" s="47">
        <f t="shared" si="2"/>
        <v>25</v>
      </c>
      <c r="C28" s="192">
        <v>44791.0</v>
      </c>
      <c r="D28" s="47">
        <f t="shared" si="4"/>
        <v>8</v>
      </c>
      <c r="E28" s="47">
        <v>2000.0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ht="12.75" customHeight="1">
      <c r="A29" s="37"/>
      <c r="B29" s="47">
        <f t="shared" si="2"/>
        <v>26</v>
      </c>
      <c r="C29" s="192">
        <v>44804.0</v>
      </c>
      <c r="D29" s="47">
        <f t="shared" si="4"/>
        <v>8</v>
      </c>
      <c r="E29" s="47">
        <v>4500.0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ht="12.75" customHeight="1">
      <c r="A30" s="37"/>
      <c r="B30" s="47">
        <f t="shared" si="2"/>
        <v>27</v>
      </c>
      <c r="C30" s="192">
        <v>44810.0</v>
      </c>
      <c r="D30" s="47">
        <f t="shared" si="4"/>
        <v>9</v>
      </c>
      <c r="E30" s="47">
        <v>22580.0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ht="12.75" customHeight="1">
      <c r="A31" s="37"/>
      <c r="B31" s="47">
        <f t="shared" si="2"/>
        <v>28</v>
      </c>
      <c r="C31" s="192">
        <v>44810.0</v>
      </c>
      <c r="D31" s="47">
        <f t="shared" si="4"/>
        <v>9</v>
      </c>
      <c r="E31" s="47">
        <v>2550.0</v>
      </c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ht="12.75" customHeight="1">
      <c r="A32" s="37"/>
      <c r="B32" s="47">
        <f t="shared" si="2"/>
        <v>29</v>
      </c>
      <c r="C32" s="192">
        <v>44820.0</v>
      </c>
      <c r="D32" s="47">
        <f t="shared" si="4"/>
        <v>9</v>
      </c>
      <c r="E32" s="47">
        <v>42000.0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ht="12.75" customHeight="1">
      <c r="A33" s="37"/>
      <c r="B33" s="47">
        <f t="shared" si="2"/>
        <v>30</v>
      </c>
      <c r="C33" s="192">
        <v>44820.0</v>
      </c>
      <c r="D33" s="47">
        <f t="shared" si="4"/>
        <v>9</v>
      </c>
      <c r="E33" s="47">
        <v>2460.0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ht="12.75" customHeight="1">
      <c r="A34" s="37"/>
      <c r="B34" s="47">
        <f t="shared" si="2"/>
        <v>31</v>
      </c>
      <c r="C34" s="192">
        <v>44830.0</v>
      </c>
      <c r="D34" s="47">
        <f t="shared" si="4"/>
        <v>9</v>
      </c>
      <c r="E34" s="47">
        <v>3350.0</v>
      </c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ht="12.75" customHeight="1">
      <c r="A35" s="37"/>
      <c r="B35" s="47">
        <f t="shared" si="2"/>
        <v>32</v>
      </c>
      <c r="C35" s="45"/>
      <c r="D35" s="47">
        <f t="shared" si="4"/>
        <v>12</v>
      </c>
      <c r="E35" s="4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ht="12.75" customHeight="1">
      <c r="A36" s="37"/>
      <c r="B36" s="47">
        <f t="shared" si="2"/>
        <v>33</v>
      </c>
      <c r="C36" s="45"/>
      <c r="D36" s="47">
        <f t="shared" si="4"/>
        <v>12</v>
      </c>
      <c r="E36" s="4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ht="12.75" customHeight="1">
      <c r="A37" s="37"/>
      <c r="B37" s="47">
        <f t="shared" si="2"/>
        <v>34</v>
      </c>
      <c r="C37" s="45"/>
      <c r="D37" s="47">
        <f t="shared" si="4"/>
        <v>12</v>
      </c>
      <c r="E37" s="4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ht="12.75" customHeight="1">
      <c r="A38" s="37"/>
      <c r="B38" s="47">
        <f t="shared" si="2"/>
        <v>35</v>
      </c>
      <c r="C38" s="45"/>
      <c r="D38" s="47">
        <f t="shared" si="4"/>
        <v>12</v>
      </c>
      <c r="E38" s="4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ht="12.75" customHeight="1">
      <c r="A39" s="37"/>
      <c r="B39" s="47">
        <f t="shared" si="2"/>
        <v>36</v>
      </c>
      <c r="C39" s="45"/>
      <c r="D39" s="47">
        <f t="shared" si="4"/>
        <v>12</v>
      </c>
      <c r="E39" s="4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ht="12.75" customHeight="1">
      <c r="A40" s="37"/>
      <c r="B40" s="47">
        <f t="shared" si="2"/>
        <v>37</v>
      </c>
      <c r="C40" s="45"/>
      <c r="D40" s="47">
        <f t="shared" si="4"/>
        <v>12</v>
      </c>
      <c r="E40" s="4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ht="12.75" customHeight="1">
      <c r="A41" s="37"/>
      <c r="B41" s="47">
        <f t="shared" si="2"/>
        <v>38</v>
      </c>
      <c r="C41" s="45"/>
      <c r="D41" s="47">
        <f t="shared" si="4"/>
        <v>12</v>
      </c>
      <c r="E41" s="4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ht="12.75" customHeight="1">
      <c r="A42" s="37"/>
      <c r="B42" s="47">
        <f t="shared" si="2"/>
        <v>39</v>
      </c>
      <c r="C42" s="45"/>
      <c r="D42" s="47">
        <f t="shared" si="4"/>
        <v>12</v>
      </c>
      <c r="E42" s="4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ht="12.75" customHeight="1">
      <c r="A43" s="37"/>
      <c r="B43" s="47">
        <f t="shared" si="2"/>
        <v>40</v>
      </c>
      <c r="C43" s="45"/>
      <c r="D43" s="47">
        <f t="shared" si="4"/>
        <v>12</v>
      </c>
      <c r="E43" s="4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ht="12.75" customHeight="1">
      <c r="A44" s="37"/>
      <c r="B44" s="47">
        <f t="shared" si="2"/>
        <v>41</v>
      </c>
      <c r="C44" s="45"/>
      <c r="D44" s="47">
        <f t="shared" si="4"/>
        <v>12</v>
      </c>
      <c r="E44" s="4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ht="12.75" customHeight="1">
      <c r="A45" s="37"/>
      <c r="B45" s="47">
        <f t="shared" si="2"/>
        <v>42</v>
      </c>
      <c r="C45" s="45"/>
      <c r="D45" s="47">
        <f t="shared" si="4"/>
        <v>12</v>
      </c>
      <c r="E45" s="4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ht="12.75" customHeight="1">
      <c r="A46" s="37"/>
      <c r="B46" s="47">
        <f t="shared" si="2"/>
        <v>43</v>
      </c>
      <c r="C46" s="45"/>
      <c r="D46" s="47">
        <f t="shared" si="4"/>
        <v>12</v>
      </c>
      <c r="E46" s="4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ht="12.75" customHeight="1">
      <c r="A47" s="37"/>
      <c r="B47" s="47">
        <f t="shared" si="2"/>
        <v>44</v>
      </c>
      <c r="C47" s="45"/>
      <c r="D47" s="47">
        <f t="shared" si="4"/>
        <v>12</v>
      </c>
      <c r="E47" s="4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ht="12.75" customHeight="1">
      <c r="A48" s="37"/>
      <c r="B48" s="47">
        <f t="shared" si="2"/>
        <v>45</v>
      </c>
      <c r="C48" s="45"/>
      <c r="D48" s="47">
        <f t="shared" si="4"/>
        <v>12</v>
      </c>
      <c r="E48" s="4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ht="12.75" customHeight="1">
      <c r="A49" s="37"/>
      <c r="B49" s="47">
        <f t="shared" si="2"/>
        <v>46</v>
      </c>
      <c r="C49" s="45"/>
      <c r="D49" s="47">
        <f t="shared" si="4"/>
        <v>12</v>
      </c>
      <c r="E49" s="4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ht="12.75" customHeight="1">
      <c r="A50" s="37"/>
      <c r="B50" s="47">
        <f t="shared" si="2"/>
        <v>47</v>
      </c>
      <c r="C50" s="45"/>
      <c r="D50" s="47">
        <f t="shared" si="4"/>
        <v>12</v>
      </c>
      <c r="E50" s="4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ht="12.75" customHeight="1">
      <c r="A51" s="37"/>
      <c r="B51" s="47">
        <f t="shared" si="2"/>
        <v>48</v>
      </c>
      <c r="C51" s="45"/>
      <c r="D51" s="47">
        <f t="shared" si="4"/>
        <v>12</v>
      </c>
      <c r="E51" s="4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ht="12.75" customHeight="1">
      <c r="A52" s="37"/>
      <c r="B52" s="47">
        <f t="shared" si="2"/>
        <v>49</v>
      </c>
      <c r="C52" s="45"/>
      <c r="D52" s="47">
        <f t="shared" si="4"/>
        <v>12</v>
      </c>
      <c r="E52" s="4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ht="12.75" customHeight="1">
      <c r="A53" s="37"/>
      <c r="B53" s="47">
        <f t="shared" si="2"/>
        <v>50</v>
      </c>
      <c r="C53" s="45"/>
      <c r="D53" s="47">
        <f t="shared" si="4"/>
        <v>12</v>
      </c>
      <c r="E53" s="4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ht="12.75" customHeight="1">
      <c r="A54" s="37"/>
      <c r="B54" s="47">
        <f t="shared" si="2"/>
        <v>51</v>
      </c>
      <c r="C54" s="45"/>
      <c r="D54" s="47">
        <f t="shared" si="4"/>
        <v>12</v>
      </c>
      <c r="E54" s="4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ht="12.75" customHeight="1">
      <c r="A55" s="37"/>
      <c r="B55" s="47">
        <f t="shared" si="2"/>
        <v>52</v>
      </c>
      <c r="C55" s="45"/>
      <c r="D55" s="47">
        <f t="shared" si="4"/>
        <v>12</v>
      </c>
      <c r="E55" s="4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ht="12.75" customHeight="1">
      <c r="A56" s="37"/>
      <c r="B56" s="47">
        <f t="shared" si="2"/>
        <v>53</v>
      </c>
      <c r="C56" s="45"/>
      <c r="D56" s="47">
        <f t="shared" si="4"/>
        <v>12</v>
      </c>
      <c r="E56" s="4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ht="12.75" customHeight="1">
      <c r="A57" s="37"/>
      <c r="B57" s="47">
        <f t="shared" si="2"/>
        <v>54</v>
      </c>
      <c r="C57" s="45"/>
      <c r="D57" s="47">
        <f t="shared" si="4"/>
        <v>12</v>
      </c>
      <c r="E57" s="4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ht="12.75" customHeight="1">
      <c r="A58" s="37"/>
      <c r="B58" s="47">
        <f t="shared" si="2"/>
        <v>55</v>
      </c>
      <c r="C58" s="45"/>
      <c r="D58" s="47">
        <f t="shared" si="4"/>
        <v>12</v>
      </c>
      <c r="E58" s="4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ht="12.75" customHeight="1">
      <c r="A59" s="37"/>
      <c r="B59" s="47">
        <f t="shared" si="2"/>
        <v>56</v>
      </c>
      <c r="C59" s="45"/>
      <c r="D59" s="47">
        <f t="shared" si="4"/>
        <v>12</v>
      </c>
      <c r="E59" s="4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ht="12.75" customHeight="1">
      <c r="A60" s="37"/>
      <c r="B60" s="47">
        <f t="shared" si="2"/>
        <v>57</v>
      </c>
      <c r="C60" s="45"/>
      <c r="D60" s="47">
        <f t="shared" si="4"/>
        <v>12</v>
      </c>
      <c r="E60" s="4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ht="12.75" customHeight="1">
      <c r="A61" s="37"/>
      <c r="B61" s="47">
        <f t="shared" si="2"/>
        <v>58</v>
      </c>
      <c r="C61" s="45"/>
      <c r="D61" s="47">
        <f t="shared" si="4"/>
        <v>12</v>
      </c>
      <c r="E61" s="4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ht="12.75" customHeight="1">
      <c r="A62" s="37"/>
      <c r="B62" s="47">
        <f t="shared" si="2"/>
        <v>59</v>
      </c>
      <c r="C62" s="45"/>
      <c r="D62" s="47">
        <f t="shared" si="4"/>
        <v>12</v>
      </c>
      <c r="E62" s="4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ht="12.75" customHeight="1">
      <c r="A63" s="37"/>
      <c r="B63" s="47">
        <f t="shared" si="2"/>
        <v>60</v>
      </c>
      <c r="C63" s="45"/>
      <c r="D63" s="47">
        <f t="shared" si="4"/>
        <v>12</v>
      </c>
      <c r="E63" s="4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ht="12.75" customHeight="1">
      <c r="A64" s="37"/>
      <c r="B64" s="47">
        <f t="shared" si="2"/>
        <v>61</v>
      </c>
      <c r="C64" s="45"/>
      <c r="D64" s="47">
        <f t="shared" si="4"/>
        <v>12</v>
      </c>
      <c r="E64" s="4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ht="12.75" customHeight="1">
      <c r="A65" s="37"/>
      <c r="B65" s="47">
        <f t="shared" si="2"/>
        <v>62</v>
      </c>
      <c r="C65" s="45"/>
      <c r="D65" s="47">
        <f t="shared" si="4"/>
        <v>12</v>
      </c>
      <c r="E65" s="4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ht="12.75" customHeight="1">
      <c r="A66" s="37"/>
      <c r="B66" s="47">
        <f t="shared" si="2"/>
        <v>63</v>
      </c>
      <c r="C66" s="45"/>
      <c r="D66" s="47">
        <f t="shared" si="4"/>
        <v>12</v>
      </c>
      <c r="E66" s="4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ht="12.75" customHeight="1">
      <c r="A67" s="37"/>
      <c r="B67" s="47">
        <f t="shared" si="2"/>
        <v>64</v>
      </c>
      <c r="C67" s="45"/>
      <c r="D67" s="47">
        <f t="shared" si="4"/>
        <v>12</v>
      </c>
      <c r="E67" s="4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ht="12.75" customHeight="1">
      <c r="A68" s="37"/>
      <c r="B68" s="47">
        <f t="shared" si="2"/>
        <v>65</v>
      </c>
      <c r="C68" s="45"/>
      <c r="D68" s="47">
        <f t="shared" si="4"/>
        <v>12</v>
      </c>
      <c r="E68" s="4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ht="12.75" customHeight="1">
      <c r="A69" s="37"/>
      <c r="B69" s="47">
        <f t="shared" si="2"/>
        <v>66</v>
      </c>
      <c r="C69" s="45"/>
      <c r="D69" s="47">
        <f t="shared" si="4"/>
        <v>12</v>
      </c>
      <c r="E69" s="4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ht="12.75" customHeight="1">
      <c r="A70" s="37"/>
      <c r="B70" s="47">
        <f t="shared" si="2"/>
        <v>67</v>
      </c>
      <c r="C70" s="45"/>
      <c r="D70" s="47">
        <f t="shared" si="4"/>
        <v>12</v>
      </c>
      <c r="E70" s="4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ht="12.75" customHeight="1">
      <c r="A71" s="37"/>
      <c r="B71" s="47">
        <f t="shared" si="2"/>
        <v>68</v>
      </c>
      <c r="C71" s="45"/>
      <c r="D71" s="47">
        <f t="shared" si="4"/>
        <v>12</v>
      </c>
      <c r="E71" s="4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ht="12.75" customHeight="1">
      <c r="A72" s="37"/>
      <c r="B72" s="47">
        <f t="shared" si="2"/>
        <v>69</v>
      </c>
      <c r="C72" s="45"/>
      <c r="D72" s="47">
        <f t="shared" si="4"/>
        <v>12</v>
      </c>
      <c r="E72" s="4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ht="12.75" customHeight="1">
      <c r="A73" s="37"/>
      <c r="B73" s="47">
        <f t="shared" si="2"/>
        <v>70</v>
      </c>
      <c r="C73" s="45"/>
      <c r="D73" s="47">
        <f t="shared" si="4"/>
        <v>12</v>
      </c>
      <c r="E73" s="4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ht="12.75" customHeight="1">
      <c r="A74" s="37"/>
      <c r="B74" s="47">
        <f t="shared" si="2"/>
        <v>71</v>
      </c>
      <c r="C74" s="45"/>
      <c r="D74" s="47">
        <f t="shared" si="4"/>
        <v>12</v>
      </c>
      <c r="E74" s="4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ht="12.75" customHeight="1">
      <c r="A75" s="37"/>
      <c r="B75" s="47">
        <f t="shared" si="2"/>
        <v>72</v>
      </c>
      <c r="C75" s="45"/>
      <c r="D75" s="47">
        <f t="shared" si="4"/>
        <v>12</v>
      </c>
      <c r="E75" s="4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ht="12.75" customHeight="1">
      <c r="A76" s="37"/>
      <c r="B76" s="47">
        <f t="shared" si="2"/>
        <v>73</v>
      </c>
      <c r="C76" s="45"/>
      <c r="D76" s="47">
        <f t="shared" si="4"/>
        <v>12</v>
      </c>
      <c r="E76" s="4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ht="12.75" customHeight="1">
      <c r="A77" s="37"/>
      <c r="B77" s="47">
        <f t="shared" si="2"/>
        <v>74</v>
      </c>
      <c r="C77" s="45"/>
      <c r="D77" s="47">
        <f t="shared" si="4"/>
        <v>12</v>
      </c>
      <c r="E77" s="4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ht="12.75" customHeight="1">
      <c r="A78" s="37"/>
      <c r="B78" s="47">
        <f t="shared" si="2"/>
        <v>75</v>
      </c>
      <c r="C78" s="45"/>
      <c r="D78" s="47">
        <f t="shared" si="4"/>
        <v>12</v>
      </c>
      <c r="E78" s="4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ht="12.75" customHeight="1">
      <c r="A79" s="37"/>
      <c r="B79" s="47">
        <f t="shared" si="2"/>
        <v>76</v>
      </c>
      <c r="C79" s="45"/>
      <c r="D79" s="47">
        <f t="shared" si="4"/>
        <v>12</v>
      </c>
      <c r="E79" s="4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ht="12.75" customHeight="1">
      <c r="A80" s="37"/>
      <c r="B80" s="47">
        <f t="shared" si="2"/>
        <v>77</v>
      </c>
      <c r="C80" s="45"/>
      <c r="D80" s="47">
        <f t="shared" si="4"/>
        <v>12</v>
      </c>
      <c r="E80" s="4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ht="12.75" customHeight="1">
      <c r="A81" s="37"/>
      <c r="B81" s="47">
        <f t="shared" si="2"/>
        <v>78</v>
      </c>
      <c r="C81" s="45"/>
      <c r="D81" s="47">
        <f t="shared" si="4"/>
        <v>12</v>
      </c>
      <c r="E81" s="4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ht="12.75" customHeight="1">
      <c r="A82" s="37"/>
      <c r="B82" s="47">
        <f t="shared" si="2"/>
        <v>79</v>
      </c>
      <c r="C82" s="45"/>
      <c r="D82" s="47">
        <f t="shared" si="4"/>
        <v>12</v>
      </c>
      <c r="E82" s="4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ht="12.75" customHeight="1">
      <c r="A83" s="37"/>
      <c r="B83" s="47">
        <f t="shared" si="2"/>
        <v>80</v>
      </c>
      <c r="C83" s="45"/>
      <c r="D83" s="47">
        <f t="shared" si="4"/>
        <v>12</v>
      </c>
      <c r="E83" s="4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ht="12.75" customHeight="1">
      <c r="A84" s="37"/>
      <c r="B84" s="47">
        <f t="shared" si="2"/>
        <v>81</v>
      </c>
      <c r="C84" s="45"/>
      <c r="D84" s="47">
        <f t="shared" si="4"/>
        <v>12</v>
      </c>
      <c r="E84" s="4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ht="12.75" customHeight="1">
      <c r="A85" s="37"/>
      <c r="B85" s="47">
        <f t="shared" si="2"/>
        <v>82</v>
      </c>
      <c r="C85" s="45"/>
      <c r="D85" s="47">
        <f t="shared" si="4"/>
        <v>12</v>
      </c>
      <c r="E85" s="4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ht="12.75" customHeight="1">
      <c r="A86" s="37"/>
      <c r="B86" s="47">
        <f t="shared" si="2"/>
        <v>83</v>
      </c>
      <c r="C86" s="45"/>
      <c r="D86" s="47">
        <f t="shared" si="4"/>
        <v>12</v>
      </c>
      <c r="E86" s="4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ht="12.75" customHeight="1">
      <c r="A87" s="37"/>
      <c r="B87" s="47">
        <f t="shared" si="2"/>
        <v>84</v>
      </c>
      <c r="C87" s="45"/>
      <c r="D87" s="47">
        <f t="shared" si="4"/>
        <v>12</v>
      </c>
      <c r="E87" s="4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ht="12.75" customHeight="1">
      <c r="A88" s="37"/>
      <c r="B88" s="47">
        <f t="shared" si="2"/>
        <v>85</v>
      </c>
      <c r="C88" s="45"/>
      <c r="D88" s="47">
        <f t="shared" si="4"/>
        <v>12</v>
      </c>
      <c r="E88" s="4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ht="12.75" customHeight="1">
      <c r="A89" s="37"/>
      <c r="B89" s="47">
        <f t="shared" si="2"/>
        <v>86</v>
      </c>
      <c r="C89" s="45"/>
      <c r="D89" s="47">
        <f t="shared" si="4"/>
        <v>12</v>
      </c>
      <c r="E89" s="4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ht="12.75" customHeight="1">
      <c r="A90" s="37"/>
      <c r="B90" s="47">
        <f t="shared" si="2"/>
        <v>87</v>
      </c>
      <c r="C90" s="45"/>
      <c r="D90" s="47">
        <f t="shared" si="4"/>
        <v>12</v>
      </c>
      <c r="E90" s="4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ht="12.75" customHeight="1">
      <c r="A91" s="37"/>
      <c r="B91" s="47">
        <f t="shared" si="2"/>
        <v>88</v>
      </c>
      <c r="C91" s="45"/>
      <c r="D91" s="47">
        <f t="shared" si="4"/>
        <v>12</v>
      </c>
      <c r="E91" s="4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ht="12.75" customHeight="1">
      <c r="A92" s="37"/>
      <c r="B92" s="47">
        <f t="shared" si="2"/>
        <v>89</v>
      </c>
      <c r="C92" s="45"/>
      <c r="D92" s="47">
        <f t="shared" si="4"/>
        <v>12</v>
      </c>
      <c r="E92" s="4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ht="12.75" customHeight="1">
      <c r="A93" s="37"/>
      <c r="B93" s="47">
        <f t="shared" si="2"/>
        <v>90</v>
      </c>
      <c r="C93" s="45"/>
      <c r="D93" s="47">
        <f t="shared" si="4"/>
        <v>12</v>
      </c>
      <c r="E93" s="4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ht="12.75" customHeight="1">
      <c r="A94" s="37"/>
      <c r="B94" s="47">
        <f t="shared" si="2"/>
        <v>91</v>
      </c>
      <c r="C94" s="45"/>
      <c r="D94" s="47">
        <f t="shared" si="4"/>
        <v>12</v>
      </c>
      <c r="E94" s="4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ht="12.75" customHeight="1">
      <c r="A95" s="37"/>
      <c r="B95" s="47">
        <f t="shared" si="2"/>
        <v>92</v>
      </c>
      <c r="C95" s="45"/>
      <c r="D95" s="47">
        <f t="shared" si="4"/>
        <v>12</v>
      </c>
      <c r="E95" s="4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ht="12.75" customHeight="1">
      <c r="A96" s="37"/>
      <c r="B96" s="47">
        <f t="shared" si="2"/>
        <v>93</v>
      </c>
      <c r="C96" s="45"/>
      <c r="D96" s="47">
        <f t="shared" si="4"/>
        <v>12</v>
      </c>
      <c r="E96" s="4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ht="12.75" customHeight="1">
      <c r="A97" s="37"/>
      <c r="B97" s="47">
        <f t="shared" si="2"/>
        <v>94</v>
      </c>
      <c r="C97" s="45"/>
      <c r="D97" s="47">
        <f t="shared" si="4"/>
        <v>12</v>
      </c>
      <c r="E97" s="4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ht="12.75" customHeight="1">
      <c r="A98" s="37"/>
      <c r="B98" s="47">
        <f t="shared" si="2"/>
        <v>95</v>
      </c>
      <c r="C98" s="45"/>
      <c r="D98" s="47">
        <f t="shared" si="4"/>
        <v>12</v>
      </c>
      <c r="E98" s="4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ht="12.75" customHeight="1">
      <c r="A99" s="37"/>
      <c r="B99" s="47">
        <f t="shared" si="2"/>
        <v>96</v>
      </c>
      <c r="C99" s="45"/>
      <c r="D99" s="47">
        <f t="shared" si="4"/>
        <v>12</v>
      </c>
      <c r="E99" s="4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ht="12.75" customHeight="1">
      <c r="A100" s="37"/>
      <c r="B100" s="47">
        <f t="shared" si="2"/>
        <v>97</v>
      </c>
      <c r="C100" s="45"/>
      <c r="D100" s="47">
        <f t="shared" si="4"/>
        <v>12</v>
      </c>
      <c r="E100" s="4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ht="12.75" customHeight="1">
      <c r="A101" s="37"/>
      <c r="B101" s="47">
        <f t="shared" si="2"/>
        <v>98</v>
      </c>
      <c r="C101" s="45"/>
      <c r="D101" s="47">
        <f t="shared" si="4"/>
        <v>12</v>
      </c>
      <c r="E101" s="4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ht="12.75" customHeight="1">
      <c r="A102" s="37"/>
      <c r="B102" s="47">
        <f t="shared" si="2"/>
        <v>99</v>
      </c>
      <c r="C102" s="45"/>
      <c r="D102" s="47">
        <f t="shared" si="4"/>
        <v>12</v>
      </c>
      <c r="E102" s="4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ht="12.75" customHeight="1">
      <c r="A103" s="37"/>
      <c r="B103" s="47">
        <f t="shared" si="2"/>
        <v>100</v>
      </c>
      <c r="C103" s="45"/>
      <c r="D103" s="47">
        <f t="shared" si="4"/>
        <v>12</v>
      </c>
      <c r="E103" s="4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ht="12.75" customHeight="1">
      <c r="A104" s="37"/>
      <c r="B104" s="52"/>
      <c r="C104" s="50"/>
      <c r="D104" s="50"/>
      <c r="E104" s="50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ht="12.75" customHeight="1">
      <c r="A105" s="37"/>
      <c r="B105" s="161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ht="12.75" customHeight="1">
      <c r="A106" s="37"/>
      <c r="B106" s="16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ht="12.75" customHeight="1">
      <c r="A107" s="37"/>
      <c r="B107" s="161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ht="12.75" customHeight="1">
      <c r="A108" s="37"/>
      <c r="B108" s="161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ht="12.75" customHeight="1">
      <c r="A109" s="37"/>
      <c r="B109" s="161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ht="12.75" customHeight="1">
      <c r="A110" s="37"/>
      <c r="B110" s="161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ht="12.75" customHeight="1">
      <c r="A111" s="37"/>
      <c r="B111" s="161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ht="12.75" customHeight="1">
      <c r="A112" s="37"/>
      <c r="B112" s="161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ht="12.75" customHeight="1">
      <c r="A113" s="37"/>
      <c r="B113" s="161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ht="12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ht="12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ht="12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ht="12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ht="12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ht="12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ht="12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ht="12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ht="12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ht="12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ht="12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ht="12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ht="12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ht="12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ht="12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ht="12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ht="12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ht="12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ht="12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ht="12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ht="12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ht="12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ht="12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ht="12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ht="12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ht="12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ht="12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ht="12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ht="12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ht="12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ht="12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ht="12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ht="12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ht="12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ht="12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ht="12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ht="12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ht="12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ht="12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ht="12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ht="12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ht="12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ht="12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ht="12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ht="12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ht="12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ht="12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ht="12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ht="12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ht="12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ht="12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ht="12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ht="12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Patricio M Vallerino</dc:creator>
</cp:coreProperties>
</file>